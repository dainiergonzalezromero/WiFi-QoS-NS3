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lay" sheetId="1" state="visible" r:id="rId3"/>
    <sheet name="Throughput" sheetId="2" state="visible" r:id="rId4"/>
    <sheet name="LostPackets" sheetId="3" state="visible" r:id="rId5"/>
    <sheet name="Resumen Delay" sheetId="4" state="visible" r:id="rId6"/>
    <sheet name="Resumen Lost Packets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<sst xmlns="http://schemas.openxmlformats.org/spreadsheetml/2006/main" count="528" uniqueCount="34">
  <si>
    <t xml:space="preserve">Configuration</t>
  </si>
  <si>
    <t xml:space="preserve">Packet Size</t>
  </si>
  <si>
    <t xml:space="preserve">Devices</t>
  </si>
  <si>
    <t xml:space="preserve">CLAVES</t>
  </si>
  <si>
    <t xml:space="preserve">Mean H</t>
  </si>
  <si>
    <t xml:space="preserve">Std H</t>
  </si>
  <si>
    <t xml:space="preserve">Mean M</t>
  </si>
  <si>
    <t xml:space="preserve">Std M</t>
  </si>
  <si>
    <t xml:space="preserve">Mean L</t>
  </si>
  <si>
    <t xml:space="preserve">Std L</t>
  </si>
  <si>
    <t xml:space="preserve">Mean NRT</t>
  </si>
  <si>
    <t xml:space="preserve">Std NRT</t>
  </si>
  <si>
    <t xml:space="preserve">NO SDWN</t>
  </si>
  <si>
    <t xml:space="preserve">SDWN EDCA</t>
  </si>
  <si>
    <t xml:space="preserve">SDWN MOD</t>
  </si>
  <si>
    <t xml:space="preserve">SDWN IA</t>
  </si>
  <si>
    <t xml:space="preserve">Total Devices</t>
  </si>
  <si>
    <t xml:space="preserve">Netwoks Config.</t>
  </si>
  <si>
    <t xml:space="preserve">HIGH</t>
  </si>
  <si>
    <t xml:space="preserve">MEDIUM</t>
  </si>
  <si>
    <t xml:space="preserve">LOW</t>
  </si>
  <si>
    <t xml:space="preserve">NRT</t>
  </si>
  <si>
    <t xml:space="preserve">Mean</t>
  </si>
  <si>
    <t xml:space="preserve">+e(95%)</t>
  </si>
  <si>
    <t xml:space="preserve">\multirow{4}{*}{10}</t>
  </si>
  <si>
    <t xml:space="preserve">\multirow{4}{*}{20}</t>
  </si>
  <si>
    <t xml:space="preserve">\multirow{4}{*}{30}</t>
  </si>
  <si>
    <t xml:space="preserve">\multirow{4}{*}{40}</t>
  </si>
  <si>
    <t xml:space="preserve">\multirow{4}{*}{50}</t>
  </si>
  <si>
    <t xml:space="preserve">\multirow{4}{*}{60}</t>
  </si>
  <si>
    <t xml:space="preserve">\multirow{4}{*}{70}</t>
  </si>
  <si>
    <t xml:space="preserve">\multirow{4}{*}{80}</t>
  </si>
  <si>
    <t xml:space="preserve">\multirow{4}{*}{90}</t>
  </si>
  <si>
    <t xml:space="preserve">\multirow{4}{*}{100}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</si>
</sst>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Cambria"/>
      <family val="1"/>
      <charset val="1"/>
    </font>
    <font>
      <sz val="10"/>
      <name val="Courier New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D3D3D3"/>
        <bgColor rgb="FFAFD095"/>
      </patternFill>
    </fill>
    <fill>
      <patternFill patternType="solid">
        <fgColor rgb="FFE8F2A1"/>
        <bgColor rgb="FFFFFFCC"/>
      </patternFill>
    </fill>
    <fill>
      <patternFill patternType="solid">
        <fgColor rgb="FFAFD095"/>
        <bgColor rgb="FFD3D3D3"/>
      </patternFill>
    </fill>
    <fill>
      <patternFill patternType="solid">
        <fgColor rgb="FFD4EA6B"/>
        <bgColor rgb="FFBBE33D"/>
      </patternFill>
    </fill>
    <fill>
      <patternFill patternType="solid">
        <fgColor rgb="FF77BC65"/>
        <bgColor rgb="FF5EB91E"/>
      </patternFill>
    </fill>
    <fill>
      <patternFill patternType="solid">
        <fgColor rgb="FFBBE33D"/>
        <bgColor rgb="FFD4EA6B"/>
      </patternFill>
    </fill>
    <fill>
      <patternFill patternType="solid">
        <fgColor rgb="FF3FAF46"/>
        <bgColor rgb="FF5EB91E"/>
      </patternFill>
    </fill>
    <fill>
      <patternFill patternType="solid">
        <fgColor rgb="FF5EB91E"/>
        <bgColor rgb="FF3FAF46"/>
      </patternFill>
    </fill>
    <fill>
      <patternFill patternType="solid">
        <fgColor rgb="FF069A2E"/>
        <bgColor rgb="FF127622"/>
      </patternFill>
    </fill>
    <fill>
      <patternFill patternType="solid">
        <fgColor rgb="FF468A1A"/>
        <bgColor rgb="FF3FAF46"/>
      </patternFill>
    </fill>
    <fill>
      <patternFill patternType="solid">
        <fgColor rgb="FF127622"/>
        <bgColor rgb="FF069A2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6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7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0" fillId="7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8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0" fillId="8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9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0" fillId="9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1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0" fillId="1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11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0" fillId="11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1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0" fillId="1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27622"/>
      <rgbColor rgb="FF000080"/>
      <rgbColor rgb="FF468A1A"/>
      <rgbColor rgb="FF800080"/>
      <rgbColor rgb="FF069A2E"/>
      <rgbColor rgb="FFAFD095"/>
      <rgbColor rgb="FF5EB91E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E8F2A1"/>
      <rgbColor rgb="FF99CCFF"/>
      <rgbColor rgb="FFFF99CC"/>
      <rgbColor rgb="FFCC99FF"/>
      <rgbColor rgb="FFFFCC99"/>
      <rgbColor rgb="FF3366FF"/>
      <rgbColor rgb="FF33CCCC"/>
      <rgbColor rgb="FFBBE33D"/>
      <rgbColor rgb="FFFFCC00"/>
      <rgbColor rgb="FFFF9900"/>
      <rgbColor rgb="FFFF6600"/>
      <rgbColor rgb="FF666699"/>
      <rgbColor rgb="FF77BC65"/>
      <rgbColor rgb="FF003366"/>
      <rgbColor rgb="FF3FAF4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1"/>
  <sheetViews>
    <sheetView showFormulas="false" showGridLines="true" showRowColHeaders="true" showZeros="true" rightToLeft="false" tabSelected="true" showOutlineSymbols="true" defaultGridColor="true" view="normal" topLeftCell="B58" colorId="64" zoomScale="110" zoomScaleNormal="110" zoomScalePageLayoutView="100" workbookViewId="0">
      <selection pane="topLeft" activeCell="E62" activeCellId="0" sqref="E6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.66"/>
    <col collapsed="false" customWidth="true" hidden="false" outlineLevel="0" max="4" min="4" style="1" width="19.61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customFormat="false" ht="12.8" hidden="false" customHeight="false" outlineLevel="0" collapsed="false">
      <c r="A2" s="4" t="s">
        <v>12</v>
      </c>
      <c r="B2" s="4" t="n">
        <v>256</v>
      </c>
      <c r="C2" s="4" t="n">
        <v>10</v>
      </c>
      <c r="D2" s="1" t="str">
        <f aca="false">A2&amp;B2&amp;C2</f>
        <v>NO SDWN25610</v>
      </c>
      <c r="E2" s="1" t="n">
        <v>0.19976</v>
      </c>
      <c r="F2" s="1" t="n">
        <v>0.08023</v>
      </c>
      <c r="G2" s="1" t="n">
        <v>0.16788</v>
      </c>
      <c r="H2" s="1" t="n">
        <v>0.0711</v>
      </c>
      <c r="I2" s="1" t="n">
        <v>0.20745</v>
      </c>
      <c r="J2" s="1" t="n">
        <v>0.08156</v>
      </c>
      <c r="K2" s="1" t="n">
        <v>0.18146</v>
      </c>
      <c r="L2" s="1" t="n">
        <v>0.0757</v>
      </c>
    </row>
    <row r="3" customFormat="false" ht="12.8" hidden="false" customHeight="false" outlineLevel="0" collapsed="false">
      <c r="A3" s="4" t="s">
        <v>12</v>
      </c>
      <c r="B3" s="4" t="n">
        <v>256</v>
      </c>
      <c r="C3" s="4" t="n">
        <v>20</v>
      </c>
      <c r="D3" s="1" t="str">
        <f aca="false">A3&amp;B3&amp;C3</f>
        <v>NO SDWN25620</v>
      </c>
      <c r="E3" s="1" t="n">
        <v>0.22666</v>
      </c>
      <c r="F3" s="1" t="n">
        <v>0.09756</v>
      </c>
      <c r="G3" s="1" t="n">
        <v>0.18668</v>
      </c>
      <c r="H3" s="1" t="n">
        <v>0.09043</v>
      </c>
      <c r="I3" s="1" t="n">
        <v>0.16038</v>
      </c>
      <c r="J3" s="1" t="n">
        <v>0.07292</v>
      </c>
      <c r="K3" s="1" t="n">
        <v>0.18505</v>
      </c>
      <c r="L3" s="1" t="n">
        <v>0.08867</v>
      </c>
    </row>
    <row r="4" customFormat="false" ht="12.8" hidden="false" customHeight="false" outlineLevel="0" collapsed="false">
      <c r="A4" s="4" t="s">
        <v>12</v>
      </c>
      <c r="B4" s="4" t="n">
        <v>256</v>
      </c>
      <c r="C4" s="4" t="n">
        <v>30</v>
      </c>
      <c r="D4" s="1" t="str">
        <f aca="false">A4&amp;B4&amp;C4</f>
        <v>NO SDWN25630</v>
      </c>
      <c r="E4" s="1" t="n">
        <v>0.24792</v>
      </c>
      <c r="F4" s="1" t="n">
        <v>0.11649</v>
      </c>
      <c r="G4" s="1" t="n">
        <v>0.1987</v>
      </c>
      <c r="H4" s="1" t="n">
        <v>0.08313</v>
      </c>
      <c r="I4" s="1" t="n">
        <v>0.16873</v>
      </c>
      <c r="J4" s="1" t="n">
        <v>0.07926</v>
      </c>
      <c r="K4" s="1" t="n">
        <v>0.17811</v>
      </c>
      <c r="L4" s="1" t="n">
        <v>0.08205</v>
      </c>
    </row>
    <row r="5" customFormat="false" ht="12.8" hidden="false" customHeight="false" outlineLevel="0" collapsed="false">
      <c r="A5" s="4" t="s">
        <v>12</v>
      </c>
      <c r="B5" s="4" t="n">
        <v>256</v>
      </c>
      <c r="C5" s="4" t="n">
        <v>40</v>
      </c>
      <c r="D5" s="1" t="str">
        <f aca="false">A5&amp;B5&amp;C5</f>
        <v>NO SDWN25640</v>
      </c>
      <c r="E5" s="1" t="n">
        <v>0.28039</v>
      </c>
      <c r="F5" s="1" t="n">
        <v>0.12411</v>
      </c>
      <c r="G5" s="1" t="n">
        <v>0.20848</v>
      </c>
      <c r="H5" s="1" t="n">
        <v>0.10981</v>
      </c>
      <c r="I5" s="1" t="n">
        <v>0.19812</v>
      </c>
      <c r="J5" s="1" t="n">
        <v>0.10088</v>
      </c>
      <c r="K5" s="1" t="n">
        <v>0.18802</v>
      </c>
      <c r="L5" s="1" t="n">
        <v>0.08467</v>
      </c>
    </row>
    <row r="6" customFormat="false" ht="12.8" hidden="false" customHeight="false" outlineLevel="0" collapsed="false">
      <c r="A6" s="4" t="s">
        <v>12</v>
      </c>
      <c r="B6" s="4" t="n">
        <v>256</v>
      </c>
      <c r="C6" s="4" t="n">
        <v>50</v>
      </c>
      <c r="D6" s="1" t="str">
        <f aca="false">A6&amp;B6&amp;C6</f>
        <v>NO SDWN25650</v>
      </c>
      <c r="E6" s="1" t="n">
        <v>0.76274</v>
      </c>
      <c r="F6" s="1" t="n">
        <v>0.40667</v>
      </c>
      <c r="G6" s="1" t="n">
        <v>0.20378</v>
      </c>
      <c r="H6" s="1" t="n">
        <v>0.11496</v>
      </c>
      <c r="I6" s="1" t="n">
        <v>0.20503</v>
      </c>
      <c r="J6" s="1" t="n">
        <v>0.10937</v>
      </c>
      <c r="K6" s="1" t="n">
        <v>0.67477</v>
      </c>
      <c r="L6" s="1" t="n">
        <v>0.3498</v>
      </c>
    </row>
    <row r="7" customFormat="false" ht="12.8" hidden="false" customHeight="false" outlineLevel="0" collapsed="false">
      <c r="A7" s="4" t="s">
        <v>12</v>
      </c>
      <c r="B7" s="4" t="n">
        <v>256</v>
      </c>
      <c r="C7" s="4" t="n">
        <v>60</v>
      </c>
      <c r="D7" s="1" t="str">
        <f aca="false">A7&amp;B7&amp;C7</f>
        <v>NO SDWN25660</v>
      </c>
      <c r="E7" s="1" t="n">
        <v>0.9394</v>
      </c>
      <c r="F7" s="1" t="n">
        <v>0.3376</v>
      </c>
      <c r="G7" s="1" t="n">
        <v>0.45998</v>
      </c>
      <c r="H7" s="1" t="n">
        <v>0.40486</v>
      </c>
      <c r="I7" s="1" t="n">
        <v>0.39169</v>
      </c>
      <c r="J7" s="1" t="n">
        <v>0.33197</v>
      </c>
      <c r="K7" s="1" t="n">
        <v>0.8096</v>
      </c>
      <c r="L7" s="1" t="n">
        <v>0.30415</v>
      </c>
    </row>
    <row r="8" customFormat="false" ht="12.8" hidden="false" customHeight="false" outlineLevel="0" collapsed="false">
      <c r="A8" s="4" t="s">
        <v>12</v>
      </c>
      <c r="B8" s="4" t="n">
        <v>256</v>
      </c>
      <c r="C8" s="4" t="n">
        <v>70</v>
      </c>
      <c r="D8" s="1" t="str">
        <f aca="false">A8&amp;B8&amp;C8</f>
        <v>NO SDWN25670</v>
      </c>
      <c r="E8" s="1" t="n">
        <v>0.9477</v>
      </c>
      <c r="F8" s="1" t="n">
        <v>0.36974</v>
      </c>
      <c r="G8" s="1" t="n">
        <v>0.67734</v>
      </c>
      <c r="H8" s="1" t="n">
        <v>0.45047</v>
      </c>
      <c r="I8" s="1" t="n">
        <v>0.65318</v>
      </c>
      <c r="J8" s="1" t="n">
        <v>0.36205</v>
      </c>
      <c r="K8" s="1" t="n">
        <v>0.86462</v>
      </c>
      <c r="L8" s="1" t="n">
        <v>0.33095</v>
      </c>
    </row>
    <row r="9" customFormat="false" ht="12.8" hidden="false" customHeight="false" outlineLevel="0" collapsed="false">
      <c r="A9" s="4" t="s">
        <v>12</v>
      </c>
      <c r="B9" s="4" t="n">
        <v>256</v>
      </c>
      <c r="C9" s="4" t="n">
        <v>80</v>
      </c>
      <c r="D9" s="1" t="str">
        <f aca="false">A9&amp;B9&amp;C9</f>
        <v>NO SDWN25680</v>
      </c>
      <c r="E9" s="1" t="n">
        <v>1.03022</v>
      </c>
      <c r="F9" s="1" t="n">
        <v>0.38803</v>
      </c>
      <c r="G9" s="1" t="n">
        <v>0.85127</v>
      </c>
      <c r="H9" s="1" t="n">
        <v>0.33724</v>
      </c>
      <c r="I9" s="1" t="n">
        <v>0.84142</v>
      </c>
      <c r="J9" s="1" t="n">
        <v>0.35679</v>
      </c>
      <c r="K9" s="1" t="n">
        <v>0.88014</v>
      </c>
      <c r="L9" s="1" t="n">
        <v>0.33984</v>
      </c>
    </row>
    <row r="10" customFormat="false" ht="12.8" hidden="false" customHeight="false" outlineLevel="0" collapsed="false">
      <c r="A10" s="4" t="s">
        <v>12</v>
      </c>
      <c r="B10" s="4" t="n">
        <v>256</v>
      </c>
      <c r="C10" s="4" t="n">
        <v>90</v>
      </c>
      <c r="D10" s="1" t="str">
        <f aca="false">A10&amp;B10&amp;C10</f>
        <v>NO SDWN25690</v>
      </c>
      <c r="E10" s="1" t="n">
        <v>1.3124</v>
      </c>
      <c r="F10" s="1" t="n">
        <v>0.58814</v>
      </c>
      <c r="G10" s="1" t="n">
        <v>1.09418</v>
      </c>
      <c r="H10" s="1" t="n">
        <v>0.48603</v>
      </c>
      <c r="I10" s="1" t="n">
        <v>0.97032</v>
      </c>
      <c r="J10" s="1" t="n">
        <v>0.44486</v>
      </c>
      <c r="K10" s="1" t="n">
        <v>1.16632</v>
      </c>
      <c r="L10" s="1" t="n">
        <v>0.54327</v>
      </c>
    </row>
    <row r="11" customFormat="false" ht="12.8" hidden="false" customHeight="false" outlineLevel="0" collapsed="false">
      <c r="A11" s="4" t="s">
        <v>12</v>
      </c>
      <c r="B11" s="4" t="n">
        <v>256</v>
      </c>
      <c r="C11" s="4" t="n">
        <v>100</v>
      </c>
      <c r="D11" s="1" t="str">
        <f aca="false">A11&amp;B11&amp;C11</f>
        <v>NO SDWN256100</v>
      </c>
      <c r="E11" s="1" t="n">
        <v>1.60007</v>
      </c>
      <c r="F11" s="1" t="n">
        <v>0.64636</v>
      </c>
      <c r="G11" s="1" t="n">
        <v>1.18289</v>
      </c>
      <c r="H11" s="1" t="n">
        <v>0.52694</v>
      </c>
      <c r="I11" s="1" t="n">
        <v>1.16571</v>
      </c>
      <c r="J11" s="1" t="n">
        <v>0.54222</v>
      </c>
      <c r="K11" s="1" t="n">
        <v>1.38556</v>
      </c>
      <c r="L11" s="1" t="n">
        <v>0.53537</v>
      </c>
    </row>
    <row r="12" customFormat="false" ht="12.8" hidden="false" customHeight="false" outlineLevel="0" collapsed="false">
      <c r="A12" s="4" t="s">
        <v>12</v>
      </c>
      <c r="B12" s="4" t="n">
        <v>512</v>
      </c>
      <c r="C12" s="4" t="n">
        <v>10</v>
      </c>
      <c r="D12" s="1" t="str">
        <f aca="false">A12&amp;B12&amp;C12</f>
        <v>NO SDWN51210</v>
      </c>
      <c r="E12" s="1" t="n">
        <v>0.24675</v>
      </c>
      <c r="F12" s="1" t="n">
        <v>0.08096</v>
      </c>
      <c r="G12" s="1" t="n">
        <v>0.2212</v>
      </c>
      <c r="H12" s="1" t="n">
        <v>0.08519</v>
      </c>
      <c r="I12" s="1" t="n">
        <v>0.25543</v>
      </c>
      <c r="J12" s="1" t="n">
        <v>0.09266</v>
      </c>
      <c r="K12" s="1" t="n">
        <v>0.23794</v>
      </c>
      <c r="L12" s="1" t="n">
        <v>0.09244</v>
      </c>
    </row>
    <row r="13" customFormat="false" ht="12.8" hidden="false" customHeight="false" outlineLevel="0" collapsed="false">
      <c r="A13" s="4" t="s">
        <v>12</v>
      </c>
      <c r="B13" s="4" t="n">
        <v>512</v>
      </c>
      <c r="C13" s="4" t="n">
        <v>20</v>
      </c>
      <c r="D13" s="1" t="str">
        <f aca="false">A13&amp;B13&amp;C13</f>
        <v>NO SDWN51220</v>
      </c>
      <c r="E13" s="1" t="n">
        <v>0.26765</v>
      </c>
      <c r="F13" s="1" t="n">
        <v>0.09237</v>
      </c>
      <c r="G13" s="1" t="n">
        <v>0.23687</v>
      </c>
      <c r="H13" s="1" t="n">
        <v>0.10018</v>
      </c>
      <c r="I13" s="1" t="n">
        <v>0.20876</v>
      </c>
      <c r="J13" s="1" t="n">
        <v>0.08882</v>
      </c>
      <c r="K13" s="1" t="n">
        <v>0.23505</v>
      </c>
      <c r="L13" s="1" t="n">
        <v>0.09936</v>
      </c>
    </row>
    <row r="14" customFormat="false" ht="12.8" hidden="false" customHeight="false" outlineLevel="0" collapsed="false">
      <c r="A14" s="4" t="s">
        <v>12</v>
      </c>
      <c r="B14" s="4" t="n">
        <v>512</v>
      </c>
      <c r="C14" s="4" t="n">
        <v>30</v>
      </c>
      <c r="D14" s="1" t="str">
        <f aca="false">A14&amp;B14&amp;C14</f>
        <v>NO SDWN51230</v>
      </c>
      <c r="E14" s="1" t="n">
        <v>0.29476</v>
      </c>
      <c r="F14" s="1" t="n">
        <v>0.11545</v>
      </c>
      <c r="G14" s="1" t="n">
        <v>0.24506</v>
      </c>
      <c r="H14" s="1" t="n">
        <v>0.09289</v>
      </c>
      <c r="I14" s="1" t="n">
        <v>0.22244</v>
      </c>
      <c r="J14" s="1" t="n">
        <v>0.09636</v>
      </c>
      <c r="K14" s="1" t="n">
        <v>0.21901</v>
      </c>
      <c r="L14" s="1" t="n">
        <v>0.0839</v>
      </c>
    </row>
    <row r="15" customFormat="false" ht="12.8" hidden="false" customHeight="false" outlineLevel="0" collapsed="false">
      <c r="A15" s="4" t="s">
        <v>12</v>
      </c>
      <c r="B15" s="4" t="n">
        <v>512</v>
      </c>
      <c r="C15" s="4" t="n">
        <v>40</v>
      </c>
      <c r="D15" s="1" t="str">
        <f aca="false">A15&amp;B15&amp;C15</f>
        <v>NO SDWN51240</v>
      </c>
      <c r="E15" s="1" t="n">
        <v>0.33374</v>
      </c>
      <c r="F15" s="1" t="n">
        <v>0.13975</v>
      </c>
      <c r="G15" s="1" t="n">
        <v>0.25669</v>
      </c>
      <c r="H15" s="1" t="n">
        <v>0.12157</v>
      </c>
      <c r="I15" s="1" t="n">
        <v>0.25355</v>
      </c>
      <c r="J15" s="1" t="n">
        <v>0.11631</v>
      </c>
      <c r="K15" s="1" t="n">
        <v>0.24286</v>
      </c>
      <c r="L15" s="1" t="n">
        <v>0.09891</v>
      </c>
    </row>
    <row r="16" customFormat="false" ht="12.8" hidden="false" customHeight="false" outlineLevel="0" collapsed="false">
      <c r="A16" s="4" t="s">
        <v>12</v>
      </c>
      <c r="B16" s="4" t="n">
        <v>512</v>
      </c>
      <c r="C16" s="4" t="n">
        <v>50</v>
      </c>
      <c r="D16" s="1" t="str">
        <f aca="false">A16&amp;B16&amp;C16</f>
        <v>NO SDWN51250</v>
      </c>
      <c r="E16" s="1" t="n">
        <v>0.99772</v>
      </c>
      <c r="F16" s="1" t="n">
        <v>0.60458</v>
      </c>
      <c r="G16" s="1" t="n">
        <v>0.25725</v>
      </c>
      <c r="H16" s="1" t="n">
        <v>0.12573</v>
      </c>
      <c r="I16" s="1" t="n">
        <v>0.25501</v>
      </c>
      <c r="J16" s="1" t="n">
        <v>0.11563</v>
      </c>
      <c r="K16" s="1" t="n">
        <v>0.90111</v>
      </c>
      <c r="L16" s="1" t="n">
        <v>0.52259</v>
      </c>
    </row>
    <row r="17" customFormat="false" ht="12.8" hidden="false" customHeight="false" outlineLevel="0" collapsed="false">
      <c r="A17" s="4" t="s">
        <v>12</v>
      </c>
      <c r="B17" s="4" t="n">
        <v>512</v>
      </c>
      <c r="C17" s="4" t="n">
        <v>60</v>
      </c>
      <c r="D17" s="1" t="str">
        <f aca="false">A17&amp;B17&amp;C17</f>
        <v>NO SDWN51260</v>
      </c>
      <c r="E17" s="1" t="n">
        <v>1.2336</v>
      </c>
      <c r="F17" s="1" t="n">
        <v>0.50086</v>
      </c>
      <c r="G17" s="1" t="n">
        <v>0.635</v>
      </c>
      <c r="H17" s="1" t="n">
        <v>0.62709</v>
      </c>
      <c r="I17" s="1" t="n">
        <v>0.52448</v>
      </c>
      <c r="J17" s="1" t="n">
        <v>0.48211</v>
      </c>
      <c r="K17" s="1" t="n">
        <v>1.43568</v>
      </c>
      <c r="L17" s="1" t="n">
        <v>3.75682</v>
      </c>
    </row>
    <row r="18" customFormat="false" ht="12.8" hidden="false" customHeight="false" outlineLevel="0" collapsed="false">
      <c r="A18" s="4" t="s">
        <v>12</v>
      </c>
      <c r="B18" s="4" t="n">
        <v>512</v>
      </c>
      <c r="C18" s="4" t="n">
        <v>70</v>
      </c>
      <c r="D18" s="1" t="str">
        <f aca="false">A18&amp;B18&amp;C18</f>
        <v>NO SDWN51270</v>
      </c>
      <c r="E18" s="1" t="n">
        <v>1.24778</v>
      </c>
      <c r="F18" s="1" t="n">
        <v>0.5175</v>
      </c>
      <c r="G18" s="1" t="n">
        <v>0.9393</v>
      </c>
      <c r="H18" s="1" t="n">
        <v>0.80349</v>
      </c>
      <c r="I18" s="1" t="n">
        <v>0.86365</v>
      </c>
      <c r="J18" s="1" t="n">
        <v>0.48949</v>
      </c>
      <c r="K18" s="1" t="n">
        <v>1.20911</v>
      </c>
      <c r="L18" s="1" t="n">
        <v>0.51875</v>
      </c>
    </row>
    <row r="19" customFormat="false" ht="12.8" hidden="false" customHeight="false" outlineLevel="0" collapsed="false">
      <c r="A19" s="4" t="s">
        <v>12</v>
      </c>
      <c r="B19" s="4" t="n">
        <v>512</v>
      </c>
      <c r="C19" s="4" t="n">
        <v>80</v>
      </c>
      <c r="D19" s="1" t="str">
        <f aca="false">A19&amp;B19&amp;C19</f>
        <v>NO SDWN51280</v>
      </c>
      <c r="E19" s="1" t="n">
        <v>1.37092</v>
      </c>
      <c r="F19" s="1" t="n">
        <v>0.54689</v>
      </c>
      <c r="G19" s="1" t="n">
        <v>1.19797</v>
      </c>
      <c r="H19" s="1" t="n">
        <v>0.55929</v>
      </c>
      <c r="I19" s="1" t="n">
        <v>1.18026</v>
      </c>
      <c r="J19" s="1" t="n">
        <v>0.55477</v>
      </c>
      <c r="K19" s="1" t="n">
        <v>1.25153</v>
      </c>
      <c r="L19" s="1" t="n">
        <v>0.53004</v>
      </c>
    </row>
    <row r="20" customFormat="false" ht="12.8" hidden="false" customHeight="false" outlineLevel="0" collapsed="false">
      <c r="A20" s="4" t="s">
        <v>12</v>
      </c>
      <c r="B20" s="4" t="n">
        <v>512</v>
      </c>
      <c r="C20" s="4" t="n">
        <v>90</v>
      </c>
      <c r="D20" s="1" t="str">
        <f aca="false">A20&amp;B20&amp;C20</f>
        <v>NO SDWN51290</v>
      </c>
      <c r="E20" s="1" t="n">
        <v>1.8714</v>
      </c>
      <c r="F20" s="1" t="n">
        <v>0.94711</v>
      </c>
      <c r="G20" s="1" t="n">
        <v>1.56573</v>
      </c>
      <c r="H20" s="1" t="n">
        <v>0.78058</v>
      </c>
      <c r="I20" s="1" t="n">
        <v>1.36259</v>
      </c>
      <c r="J20" s="1" t="n">
        <v>0.71067</v>
      </c>
      <c r="K20" s="1" t="n">
        <v>1.69995</v>
      </c>
      <c r="L20" s="1" t="n">
        <v>0.85674</v>
      </c>
    </row>
    <row r="21" customFormat="false" ht="12.8" hidden="false" customHeight="false" outlineLevel="0" collapsed="false">
      <c r="A21" s="4" t="s">
        <v>12</v>
      </c>
      <c r="B21" s="4" t="n">
        <v>512</v>
      </c>
      <c r="C21" s="4" t="n">
        <v>100</v>
      </c>
      <c r="D21" s="1" t="str">
        <f aca="false">A21&amp;B21&amp;C21</f>
        <v>NO SDWN512100</v>
      </c>
      <c r="E21" s="1" t="n">
        <v>2.34001</v>
      </c>
      <c r="F21" s="1" t="n">
        <v>1.03129</v>
      </c>
      <c r="G21" s="1" t="n">
        <v>1.70784</v>
      </c>
      <c r="H21" s="1" t="n">
        <v>0.83426</v>
      </c>
      <c r="I21" s="1" t="n">
        <v>1.66417</v>
      </c>
      <c r="J21" s="1" t="n">
        <v>0.81504</v>
      </c>
      <c r="K21" s="1" t="n">
        <v>2.06699</v>
      </c>
      <c r="L21" s="1" t="n">
        <v>0.8603</v>
      </c>
    </row>
    <row r="22" customFormat="false" ht="12.8" hidden="false" customHeight="false" outlineLevel="0" collapsed="false">
      <c r="A22" s="4" t="s">
        <v>12</v>
      </c>
      <c r="B22" s="4" t="n">
        <v>1024</v>
      </c>
      <c r="C22" s="4" t="n">
        <v>10</v>
      </c>
      <c r="D22" s="1" t="str">
        <f aca="false">A22&amp;B22&amp;C22</f>
        <v>NO SDWN102410</v>
      </c>
      <c r="E22" s="1" t="n">
        <v>0.36274</v>
      </c>
      <c r="F22" s="1" t="n">
        <v>0.11098</v>
      </c>
      <c r="G22" s="1" t="n">
        <v>0.3292</v>
      </c>
      <c r="H22" s="1" t="n">
        <v>0.11588</v>
      </c>
      <c r="I22" s="1" t="n">
        <v>0.37989</v>
      </c>
      <c r="J22" s="1" t="n">
        <v>0.12524</v>
      </c>
      <c r="K22" s="1" t="n">
        <v>0.33742</v>
      </c>
      <c r="L22" s="1" t="n">
        <v>0.11348</v>
      </c>
    </row>
    <row r="23" customFormat="false" ht="12.8" hidden="false" customHeight="false" outlineLevel="0" collapsed="false">
      <c r="A23" s="4" t="s">
        <v>12</v>
      </c>
      <c r="B23" s="4" t="n">
        <v>1024</v>
      </c>
      <c r="C23" s="4" t="n">
        <v>20</v>
      </c>
      <c r="D23" s="1" t="str">
        <f aca="false">A23&amp;B23&amp;C23</f>
        <v>NO SDWN102420</v>
      </c>
      <c r="E23" s="1" t="n">
        <v>0.3928</v>
      </c>
      <c r="F23" s="1" t="n">
        <v>0.12486</v>
      </c>
      <c r="G23" s="1" t="n">
        <v>0.33964</v>
      </c>
      <c r="H23" s="1" t="n">
        <v>0.1253</v>
      </c>
      <c r="I23" s="1" t="n">
        <v>0.30164</v>
      </c>
      <c r="J23" s="1" t="n">
        <v>0.09707</v>
      </c>
      <c r="K23" s="1" t="n">
        <v>0.34064</v>
      </c>
      <c r="L23" s="1" t="n">
        <v>0.12805</v>
      </c>
    </row>
    <row r="24" customFormat="false" ht="12.8" hidden="false" customHeight="false" outlineLevel="0" collapsed="false">
      <c r="A24" s="4" t="s">
        <v>12</v>
      </c>
      <c r="B24" s="4" t="n">
        <v>1024</v>
      </c>
      <c r="C24" s="4" t="n">
        <v>30</v>
      </c>
      <c r="D24" s="1" t="str">
        <f aca="false">A24&amp;B24&amp;C24</f>
        <v>NO SDWN102430</v>
      </c>
      <c r="E24" s="1" t="n">
        <v>0.40992</v>
      </c>
      <c r="F24" s="1" t="n">
        <v>0.1366</v>
      </c>
      <c r="G24" s="1" t="n">
        <v>0.35695</v>
      </c>
      <c r="H24" s="1" t="n">
        <v>0.12009</v>
      </c>
      <c r="I24" s="1" t="n">
        <v>0.31665</v>
      </c>
      <c r="J24" s="1" t="n">
        <v>0.11372</v>
      </c>
      <c r="K24" s="1" t="n">
        <v>0.32742</v>
      </c>
      <c r="L24" s="1" t="n">
        <v>0.13027</v>
      </c>
    </row>
    <row r="25" customFormat="false" ht="12.8" hidden="false" customHeight="false" outlineLevel="0" collapsed="false">
      <c r="A25" s="4" t="s">
        <v>12</v>
      </c>
      <c r="B25" s="4" t="n">
        <v>1024</v>
      </c>
      <c r="C25" s="4" t="n">
        <v>40</v>
      </c>
      <c r="D25" s="1" t="str">
        <f aca="false">A25&amp;B25&amp;C25</f>
        <v>NO SDWN102440</v>
      </c>
      <c r="E25" s="1" t="n">
        <v>0.4538</v>
      </c>
      <c r="F25" s="1" t="n">
        <v>0.16589</v>
      </c>
      <c r="G25" s="1" t="n">
        <v>0.36129</v>
      </c>
      <c r="H25" s="1" t="n">
        <v>0.14782</v>
      </c>
      <c r="I25" s="1" t="n">
        <v>0.36239</v>
      </c>
      <c r="J25" s="1" t="n">
        <v>0.14762</v>
      </c>
      <c r="K25" s="1" t="n">
        <v>0.3537</v>
      </c>
      <c r="L25" s="1" t="n">
        <v>0.1294</v>
      </c>
    </row>
    <row r="26" customFormat="false" ht="12.8" hidden="false" customHeight="false" outlineLevel="0" collapsed="false">
      <c r="A26" s="4" t="s">
        <v>12</v>
      </c>
      <c r="B26" s="4" t="n">
        <v>1024</v>
      </c>
      <c r="C26" s="4" t="n">
        <v>50</v>
      </c>
      <c r="D26" s="1" t="str">
        <f aca="false">A26&amp;B26&amp;C26</f>
        <v>NO SDWN102450</v>
      </c>
      <c r="E26" s="1" t="n">
        <v>1.53414</v>
      </c>
      <c r="F26" s="1" t="n">
        <v>1.02968</v>
      </c>
      <c r="G26" s="1" t="n">
        <v>0.3625</v>
      </c>
      <c r="H26" s="1" t="n">
        <v>0.15373</v>
      </c>
      <c r="I26" s="1" t="n">
        <v>0.35494</v>
      </c>
      <c r="J26" s="1" t="n">
        <v>0.13219</v>
      </c>
      <c r="K26" s="1" t="n">
        <v>1.41582</v>
      </c>
      <c r="L26" s="1" t="n">
        <v>0.92212</v>
      </c>
    </row>
    <row r="27" customFormat="false" ht="12.8" hidden="false" customHeight="false" outlineLevel="0" collapsed="false">
      <c r="A27" s="4" t="s">
        <v>12</v>
      </c>
      <c r="B27" s="4" t="n">
        <v>1024</v>
      </c>
      <c r="C27" s="4" t="n">
        <v>60</v>
      </c>
      <c r="D27" s="1" t="str">
        <f aca="false">A27&amp;B27&amp;C27</f>
        <v>NO SDWN102460</v>
      </c>
      <c r="E27" s="1" t="n">
        <v>1.93209</v>
      </c>
      <c r="F27" s="1" t="n">
        <v>0.86332</v>
      </c>
      <c r="G27" s="1" t="n">
        <v>0.94814</v>
      </c>
      <c r="H27" s="1" t="n">
        <v>0.96786</v>
      </c>
      <c r="I27" s="1" t="n">
        <v>0.82529</v>
      </c>
      <c r="J27" s="1" t="n">
        <v>0.86135</v>
      </c>
      <c r="K27" s="1" t="n">
        <v>1.80541</v>
      </c>
      <c r="L27" s="1" t="n">
        <v>0.90458</v>
      </c>
    </row>
    <row r="28" customFormat="false" ht="12.8" hidden="false" customHeight="false" outlineLevel="0" collapsed="false">
      <c r="A28" s="4" t="s">
        <v>12</v>
      </c>
      <c r="B28" s="4" t="n">
        <v>1024</v>
      </c>
      <c r="C28" s="4" t="n">
        <v>70</v>
      </c>
      <c r="D28" s="1" t="str">
        <f aca="false">A28&amp;B28&amp;C28</f>
        <v>NO SDWN102470</v>
      </c>
      <c r="E28" s="1" t="n">
        <v>1.87797</v>
      </c>
      <c r="F28" s="1" t="n">
        <v>0.88907</v>
      </c>
      <c r="G28" s="1" t="n">
        <v>1.39711</v>
      </c>
      <c r="H28" s="1" t="n">
        <v>1.11046</v>
      </c>
      <c r="I28" s="1" t="n">
        <v>1.34183</v>
      </c>
      <c r="J28" s="1" t="n">
        <v>0.84801</v>
      </c>
      <c r="K28" s="1" t="n">
        <v>1.91606</v>
      </c>
      <c r="L28" s="1" t="n">
        <v>0.97318</v>
      </c>
    </row>
    <row r="29" customFormat="false" ht="12.8" hidden="false" customHeight="false" outlineLevel="0" collapsed="false">
      <c r="A29" s="4" t="s">
        <v>12</v>
      </c>
      <c r="B29" s="4" t="n">
        <v>1024</v>
      </c>
      <c r="C29" s="4" t="n">
        <v>80</v>
      </c>
      <c r="D29" s="1" t="str">
        <f aca="false">A29&amp;B29&amp;C29</f>
        <v>NO SDWN102480</v>
      </c>
      <c r="E29" s="1" t="n">
        <v>2.14304</v>
      </c>
      <c r="F29" s="1" t="n">
        <v>0.98803</v>
      </c>
      <c r="G29" s="1" t="n">
        <v>1.88856</v>
      </c>
      <c r="H29" s="1" t="n">
        <v>0.9568</v>
      </c>
      <c r="I29" s="1" t="n">
        <v>1.89925</v>
      </c>
      <c r="J29" s="1" t="n">
        <v>0.94296</v>
      </c>
      <c r="K29" s="1" t="n">
        <v>1.97463</v>
      </c>
      <c r="L29" s="1" t="n">
        <v>0.91804</v>
      </c>
    </row>
    <row r="30" customFormat="false" ht="12.8" hidden="false" customHeight="false" outlineLevel="0" collapsed="false">
      <c r="A30" s="4" t="s">
        <v>12</v>
      </c>
      <c r="B30" s="4" t="n">
        <v>1024</v>
      </c>
      <c r="C30" s="4" t="n">
        <v>90</v>
      </c>
      <c r="D30" s="1" t="str">
        <f aca="false">A30&amp;B30&amp;C30</f>
        <v>NO SDWN102490</v>
      </c>
      <c r="E30" s="1" t="n">
        <v>2.98276</v>
      </c>
      <c r="F30" s="1" t="n">
        <v>1.67679</v>
      </c>
      <c r="G30" s="1" t="n">
        <v>2.50834</v>
      </c>
      <c r="H30" s="1" t="n">
        <v>1.36834</v>
      </c>
      <c r="I30" s="1" t="n">
        <v>2.1549</v>
      </c>
      <c r="J30" s="1" t="n">
        <v>1.21292</v>
      </c>
      <c r="K30" s="1" t="n">
        <v>2.79886</v>
      </c>
      <c r="L30" s="1" t="n">
        <v>1.55656</v>
      </c>
    </row>
    <row r="31" customFormat="false" ht="12.8" hidden="false" customHeight="false" outlineLevel="0" collapsed="false">
      <c r="A31" s="4" t="s">
        <v>12</v>
      </c>
      <c r="B31" s="4" t="n">
        <v>1024</v>
      </c>
      <c r="C31" s="4" t="n">
        <v>100</v>
      </c>
      <c r="D31" s="1" t="str">
        <f aca="false">A31&amp;B31&amp;C31</f>
        <v>NO SDWN1024100</v>
      </c>
      <c r="E31" s="1" t="n">
        <v>3.84636</v>
      </c>
      <c r="F31" s="1" t="n">
        <v>1.80617</v>
      </c>
      <c r="G31" s="1" t="n">
        <v>2.81872</v>
      </c>
      <c r="H31" s="1" t="n">
        <v>1.45394</v>
      </c>
      <c r="I31" s="1" t="n">
        <v>2.7329</v>
      </c>
      <c r="J31" s="1" t="n">
        <v>1.46464</v>
      </c>
      <c r="K31" s="1" t="n">
        <v>3.51276</v>
      </c>
      <c r="L31" s="1" t="n">
        <v>1.49635</v>
      </c>
    </row>
    <row r="32" customFormat="false" ht="12.8" hidden="false" customHeight="false" outlineLevel="0" collapsed="false">
      <c r="A32" s="4" t="s">
        <v>13</v>
      </c>
      <c r="B32" s="4" t="n">
        <v>256</v>
      </c>
      <c r="C32" s="4" t="n">
        <v>10</v>
      </c>
      <c r="D32" s="1" t="str">
        <f aca="false">A32&amp;B32&amp;C32</f>
        <v>SDWN EDCA25610</v>
      </c>
      <c r="E32" s="1" t="n">
        <v>0.1624</v>
      </c>
      <c r="F32" s="1" t="n">
        <v>0.05407</v>
      </c>
      <c r="G32" s="1" t="n">
        <v>0.14267</v>
      </c>
      <c r="H32" s="1" t="n">
        <v>0.04346</v>
      </c>
      <c r="I32" s="1" t="n">
        <v>0.20413</v>
      </c>
      <c r="J32" s="1" t="n">
        <v>0.07515</v>
      </c>
      <c r="K32" s="1" t="n">
        <v>0.181</v>
      </c>
      <c r="L32" s="1" t="n">
        <v>0.08478</v>
      </c>
    </row>
    <row r="33" customFormat="false" ht="12.8" hidden="false" customHeight="false" outlineLevel="0" collapsed="false">
      <c r="A33" s="4" t="s">
        <v>13</v>
      </c>
      <c r="B33" s="4" t="n">
        <v>256</v>
      </c>
      <c r="C33" s="4" t="n">
        <v>20</v>
      </c>
      <c r="D33" s="1" t="str">
        <f aca="false">A33&amp;B33&amp;C33</f>
        <v>SDWN EDCA25620</v>
      </c>
      <c r="E33" s="1" t="n">
        <v>0.16176</v>
      </c>
      <c r="F33" s="1" t="n">
        <v>0.05447</v>
      </c>
      <c r="G33" s="1" t="n">
        <v>0.16214</v>
      </c>
      <c r="H33" s="1" t="n">
        <v>0.07428</v>
      </c>
      <c r="I33" s="1" t="n">
        <v>0.16458</v>
      </c>
      <c r="J33" s="1" t="n">
        <v>0.0804</v>
      </c>
      <c r="K33" s="1" t="n">
        <v>0.19293</v>
      </c>
      <c r="L33" s="1" t="n">
        <v>0.09208</v>
      </c>
    </row>
    <row r="34" customFormat="false" ht="12.8" hidden="false" customHeight="false" outlineLevel="0" collapsed="false">
      <c r="A34" s="4" t="s">
        <v>13</v>
      </c>
      <c r="B34" s="4" t="n">
        <v>256</v>
      </c>
      <c r="C34" s="4" t="n">
        <v>30</v>
      </c>
      <c r="D34" s="1" t="str">
        <f aca="false">A34&amp;B34&amp;C34</f>
        <v>SDWN EDCA25630</v>
      </c>
      <c r="E34" s="1" t="n">
        <v>0.17869</v>
      </c>
      <c r="F34" s="1" t="n">
        <v>0.07394</v>
      </c>
      <c r="G34" s="1" t="n">
        <v>0.1758</v>
      </c>
      <c r="H34" s="1" t="n">
        <v>0.07427</v>
      </c>
      <c r="I34" s="1" t="n">
        <v>0.17045</v>
      </c>
      <c r="J34" s="1" t="n">
        <v>0.08535</v>
      </c>
      <c r="K34" s="1" t="n">
        <v>0.18127</v>
      </c>
      <c r="L34" s="1" t="n">
        <v>0.08447</v>
      </c>
    </row>
    <row r="35" customFormat="false" ht="12.8" hidden="false" customHeight="false" outlineLevel="0" collapsed="false">
      <c r="A35" s="4" t="s">
        <v>13</v>
      </c>
      <c r="B35" s="4" t="n">
        <v>256</v>
      </c>
      <c r="C35" s="4" t="n">
        <v>40</v>
      </c>
      <c r="D35" s="1" t="str">
        <f aca="false">A35&amp;B35&amp;C35</f>
        <v>SDWN EDCA25640</v>
      </c>
      <c r="E35" s="1" t="n">
        <v>0.20486</v>
      </c>
      <c r="F35" s="1" t="n">
        <v>0.07914</v>
      </c>
      <c r="G35" s="1" t="n">
        <v>0.1648</v>
      </c>
      <c r="H35" s="1" t="n">
        <v>0.06896</v>
      </c>
      <c r="I35" s="1" t="n">
        <v>0.1895</v>
      </c>
      <c r="J35" s="1" t="n">
        <v>0.09592</v>
      </c>
      <c r="K35" s="1" t="n">
        <v>0.19884</v>
      </c>
      <c r="L35" s="1" t="n">
        <v>0.08927</v>
      </c>
    </row>
    <row r="36" customFormat="false" ht="12.8" hidden="false" customHeight="false" outlineLevel="0" collapsed="false">
      <c r="A36" s="4" t="s">
        <v>13</v>
      </c>
      <c r="B36" s="4" t="n">
        <v>256</v>
      </c>
      <c r="C36" s="4" t="n">
        <v>50</v>
      </c>
      <c r="D36" s="1" t="str">
        <f aca="false">A36&amp;B36&amp;C36</f>
        <v>SDWN EDCA25650</v>
      </c>
      <c r="E36" s="1" t="n">
        <v>0.37802</v>
      </c>
      <c r="F36" s="1" t="n">
        <v>0.15279</v>
      </c>
      <c r="G36" s="1" t="n">
        <v>0.17694</v>
      </c>
      <c r="H36" s="1" t="n">
        <v>0.08581</v>
      </c>
      <c r="I36" s="1" t="n">
        <v>0.19548</v>
      </c>
      <c r="J36" s="1" t="n">
        <v>0.09352</v>
      </c>
      <c r="K36" s="1" t="n">
        <v>0.92688</v>
      </c>
      <c r="L36" s="1" t="n">
        <v>0.53564</v>
      </c>
    </row>
    <row r="37" customFormat="false" ht="12.8" hidden="false" customHeight="false" outlineLevel="0" collapsed="false">
      <c r="A37" s="4" t="s">
        <v>13</v>
      </c>
      <c r="B37" s="4" t="n">
        <v>256</v>
      </c>
      <c r="C37" s="4" t="n">
        <v>60</v>
      </c>
      <c r="D37" s="1" t="str">
        <f aca="false">A37&amp;B37&amp;C37</f>
        <v>SDWN EDCA25660</v>
      </c>
      <c r="E37" s="1" t="n">
        <v>0.44873</v>
      </c>
      <c r="F37" s="1" t="n">
        <v>0.13022</v>
      </c>
      <c r="G37" s="1" t="n">
        <v>0.29175</v>
      </c>
      <c r="H37" s="1" t="n">
        <v>0.16771</v>
      </c>
      <c r="I37" s="1" t="n">
        <v>0.46673</v>
      </c>
      <c r="J37" s="1" t="n">
        <v>0.46052</v>
      </c>
      <c r="K37" s="1" t="n">
        <v>1.04607</v>
      </c>
      <c r="L37" s="1" t="n">
        <v>0.42207</v>
      </c>
    </row>
    <row r="38" customFormat="false" ht="12.8" hidden="false" customHeight="false" outlineLevel="0" collapsed="false">
      <c r="A38" s="4" t="s">
        <v>13</v>
      </c>
      <c r="B38" s="4" t="n">
        <v>256</v>
      </c>
      <c r="C38" s="4" t="n">
        <v>70</v>
      </c>
      <c r="D38" s="1" t="str">
        <f aca="false">A38&amp;B38&amp;C38</f>
        <v>SDWN EDCA25670</v>
      </c>
      <c r="E38" s="1" t="n">
        <v>0.44942</v>
      </c>
      <c r="F38" s="1" t="n">
        <v>0.13396</v>
      </c>
      <c r="G38" s="1" t="n">
        <v>0.35627</v>
      </c>
      <c r="H38" s="1" t="n">
        <v>0.17798</v>
      </c>
      <c r="I38" s="1" t="n">
        <v>0.77522</v>
      </c>
      <c r="J38" s="1" t="n">
        <v>0.44693</v>
      </c>
      <c r="K38" s="1" t="n">
        <v>1.03802</v>
      </c>
      <c r="L38" s="1" t="n">
        <v>0.46989</v>
      </c>
    </row>
    <row r="39" customFormat="false" ht="12.8" hidden="false" customHeight="false" outlineLevel="0" collapsed="false">
      <c r="A39" s="4" t="s">
        <v>13</v>
      </c>
      <c r="B39" s="4" t="n">
        <v>256</v>
      </c>
      <c r="C39" s="4" t="n">
        <v>80</v>
      </c>
      <c r="D39" s="1" t="str">
        <f aca="false">A39&amp;B39&amp;C39</f>
        <v>SDWN EDCA25680</v>
      </c>
      <c r="E39" s="1" t="n">
        <v>0.47528</v>
      </c>
      <c r="F39" s="1" t="n">
        <v>0.13862</v>
      </c>
      <c r="G39" s="1" t="n">
        <v>0.44966</v>
      </c>
      <c r="H39" s="1" t="n">
        <v>0.14397</v>
      </c>
      <c r="I39" s="1" t="n">
        <v>0.9818</v>
      </c>
      <c r="J39" s="1" t="n">
        <v>0.44017</v>
      </c>
      <c r="K39" s="1" t="n">
        <v>1.00533</v>
      </c>
      <c r="L39" s="1" t="n">
        <v>0.36581</v>
      </c>
    </row>
    <row r="40" customFormat="false" ht="12.8" hidden="false" customHeight="false" outlineLevel="0" collapsed="false">
      <c r="A40" s="4" t="s">
        <v>13</v>
      </c>
      <c r="B40" s="4" t="n">
        <v>256</v>
      </c>
      <c r="C40" s="4" t="n">
        <v>90</v>
      </c>
      <c r="D40" s="1" t="str">
        <f aca="false">A40&amp;B40&amp;C40</f>
        <v>SDWN EDCA25690</v>
      </c>
      <c r="E40" s="1" t="n">
        <v>0.56485</v>
      </c>
      <c r="F40" s="1" t="n">
        <v>0.23224</v>
      </c>
      <c r="G40" s="1" t="n">
        <v>0.58336</v>
      </c>
      <c r="H40" s="1" t="n">
        <v>0.28985</v>
      </c>
      <c r="I40" s="1" t="n">
        <v>1.02392</v>
      </c>
      <c r="J40" s="1" t="n">
        <v>0.43623</v>
      </c>
      <c r="K40" s="1" t="n">
        <v>1.19899</v>
      </c>
      <c r="L40" s="1" t="n">
        <v>0.48087</v>
      </c>
    </row>
    <row r="41" customFormat="false" ht="12.8" hidden="false" customHeight="false" outlineLevel="0" collapsed="false">
      <c r="A41" s="4" t="s">
        <v>13</v>
      </c>
      <c r="B41" s="4" t="n">
        <v>256</v>
      </c>
      <c r="C41" s="4" t="n">
        <v>100</v>
      </c>
      <c r="D41" s="1" t="str">
        <f aca="false">A41&amp;B41&amp;C41</f>
        <v>SDWN EDCA256100</v>
      </c>
      <c r="E41" s="1" t="n">
        <v>0.64827</v>
      </c>
      <c r="F41" s="1" t="n">
        <v>0.30309</v>
      </c>
      <c r="G41" s="1" t="n">
        <v>0.66649</v>
      </c>
      <c r="H41" s="1" t="n">
        <v>0.33434</v>
      </c>
      <c r="I41" s="1" t="n">
        <v>1.08346</v>
      </c>
      <c r="J41" s="1" t="n">
        <v>0.44249</v>
      </c>
      <c r="K41" s="1" t="n">
        <v>1.38203</v>
      </c>
      <c r="L41" s="1" t="n">
        <v>0.48899</v>
      </c>
    </row>
    <row r="42" customFormat="false" ht="12.8" hidden="false" customHeight="false" outlineLevel="0" collapsed="false">
      <c r="A42" s="4" t="s">
        <v>13</v>
      </c>
      <c r="B42" s="4" t="n">
        <v>512</v>
      </c>
      <c r="C42" s="4" t="n">
        <v>10</v>
      </c>
      <c r="D42" s="1" t="str">
        <f aca="false">A42&amp;B42&amp;C42</f>
        <v>SDWN EDCA51210</v>
      </c>
      <c r="E42" s="1" t="n">
        <v>0.21072</v>
      </c>
      <c r="F42" s="1" t="n">
        <v>0.06689</v>
      </c>
      <c r="G42" s="1" t="n">
        <v>0.188</v>
      </c>
      <c r="H42" s="1" t="n">
        <v>0.05592</v>
      </c>
      <c r="I42" s="1" t="n">
        <v>0.26563</v>
      </c>
      <c r="J42" s="1" t="n">
        <v>0.09281</v>
      </c>
      <c r="K42" s="1" t="n">
        <v>0.2315</v>
      </c>
      <c r="L42" s="1" t="n">
        <v>0.10043</v>
      </c>
    </row>
    <row r="43" customFormat="false" ht="12.8" hidden="false" customHeight="false" outlineLevel="0" collapsed="false">
      <c r="A43" s="4" t="s">
        <v>13</v>
      </c>
      <c r="B43" s="4" t="n">
        <v>512</v>
      </c>
      <c r="C43" s="4" t="n">
        <v>20</v>
      </c>
      <c r="D43" s="1" t="str">
        <f aca="false">A43&amp;B43&amp;C43</f>
        <v>SDWN EDCA51220</v>
      </c>
      <c r="E43" s="1" t="n">
        <v>0.21354</v>
      </c>
      <c r="F43" s="1" t="n">
        <v>0.0625</v>
      </c>
      <c r="G43" s="1" t="n">
        <v>0.20813</v>
      </c>
      <c r="H43" s="1" t="n">
        <v>0.08412</v>
      </c>
      <c r="I43" s="1" t="n">
        <v>0.20157</v>
      </c>
      <c r="J43" s="1" t="n">
        <v>0.07956</v>
      </c>
      <c r="K43" s="1" t="n">
        <v>0.24033</v>
      </c>
      <c r="L43" s="1" t="n">
        <v>0.10384</v>
      </c>
    </row>
    <row r="44" customFormat="false" ht="12.8" hidden="false" customHeight="false" outlineLevel="0" collapsed="false">
      <c r="A44" s="4" t="s">
        <v>13</v>
      </c>
      <c r="B44" s="4" t="n">
        <v>512</v>
      </c>
      <c r="C44" s="4" t="n">
        <v>30</v>
      </c>
      <c r="D44" s="1" t="str">
        <f aca="false">A44&amp;B44&amp;C44</f>
        <v>SDWN EDCA51230</v>
      </c>
      <c r="E44" s="1" t="n">
        <v>0.22924</v>
      </c>
      <c r="F44" s="1" t="n">
        <v>0.0865</v>
      </c>
      <c r="G44" s="1" t="n">
        <v>0.22336</v>
      </c>
      <c r="H44" s="1" t="n">
        <v>0.08189</v>
      </c>
      <c r="I44" s="1" t="n">
        <v>0.21563</v>
      </c>
      <c r="J44" s="1" t="n">
        <v>0.10019</v>
      </c>
      <c r="K44" s="1" t="n">
        <v>0.23011</v>
      </c>
      <c r="L44" s="1" t="n">
        <v>0.0987</v>
      </c>
    </row>
    <row r="45" customFormat="false" ht="12.8" hidden="false" customHeight="false" outlineLevel="0" collapsed="false">
      <c r="A45" s="4" t="s">
        <v>13</v>
      </c>
      <c r="B45" s="4" t="n">
        <v>512</v>
      </c>
      <c r="C45" s="4" t="n">
        <v>40</v>
      </c>
      <c r="D45" s="1" t="str">
        <f aca="false">A45&amp;B45&amp;C45</f>
        <v>SDWN EDCA51240</v>
      </c>
      <c r="E45" s="1" t="n">
        <v>0.26242</v>
      </c>
      <c r="F45" s="1" t="n">
        <v>0.09624</v>
      </c>
      <c r="G45" s="1" t="n">
        <v>0.2144</v>
      </c>
      <c r="H45" s="1" t="n">
        <v>0.08511</v>
      </c>
      <c r="I45" s="1" t="n">
        <v>0.2367</v>
      </c>
      <c r="J45" s="1" t="n">
        <v>0.10573</v>
      </c>
      <c r="K45" s="1" t="n">
        <v>0.24635</v>
      </c>
      <c r="L45" s="1" t="n">
        <v>0.09695</v>
      </c>
    </row>
    <row r="46" customFormat="false" ht="12.8" hidden="false" customHeight="false" outlineLevel="0" collapsed="false">
      <c r="A46" s="4" t="s">
        <v>13</v>
      </c>
      <c r="B46" s="4" t="n">
        <v>512</v>
      </c>
      <c r="C46" s="4" t="n">
        <v>50</v>
      </c>
      <c r="D46" s="1" t="str">
        <f aca="false">A46&amp;B46&amp;C46</f>
        <v>SDWN EDCA51250</v>
      </c>
      <c r="E46" s="1" t="n">
        <v>0.4691</v>
      </c>
      <c r="F46" s="1" t="n">
        <v>0.18734</v>
      </c>
      <c r="G46" s="1" t="n">
        <v>0.22362</v>
      </c>
      <c r="H46" s="1" t="n">
        <v>0.1036</v>
      </c>
      <c r="I46" s="1" t="n">
        <v>0.24081</v>
      </c>
      <c r="J46" s="1" t="n">
        <v>0.1041</v>
      </c>
      <c r="K46" s="1" t="n">
        <v>1.11045</v>
      </c>
      <c r="L46" s="1" t="n">
        <v>0.68808</v>
      </c>
    </row>
    <row r="47" customFormat="false" ht="12.8" hidden="false" customHeight="false" outlineLevel="0" collapsed="false">
      <c r="A47" s="4" t="s">
        <v>13</v>
      </c>
      <c r="B47" s="4" t="n">
        <v>512</v>
      </c>
      <c r="C47" s="4" t="n">
        <v>60</v>
      </c>
      <c r="D47" s="1" t="str">
        <f aca="false">A47&amp;B47&amp;C47</f>
        <v>SDWN EDCA51260</v>
      </c>
      <c r="E47" s="1" t="n">
        <v>0.55625</v>
      </c>
      <c r="F47" s="1" t="n">
        <v>0.16647</v>
      </c>
      <c r="G47" s="1" t="n">
        <v>0.36419</v>
      </c>
      <c r="H47" s="1" t="n">
        <v>0.22541</v>
      </c>
      <c r="I47" s="1" t="n">
        <v>0.55067</v>
      </c>
      <c r="J47" s="1" t="n">
        <v>0.51532</v>
      </c>
      <c r="K47" s="1" t="n">
        <v>1.2433</v>
      </c>
      <c r="L47" s="1" t="n">
        <v>0.50636</v>
      </c>
    </row>
    <row r="48" customFormat="false" ht="12.8" hidden="false" customHeight="false" outlineLevel="0" collapsed="false">
      <c r="A48" s="4" t="s">
        <v>13</v>
      </c>
      <c r="B48" s="4" t="n">
        <v>512</v>
      </c>
      <c r="C48" s="4" t="n">
        <v>70</v>
      </c>
      <c r="D48" s="1" t="str">
        <f aca="false">A48&amp;B48&amp;C48</f>
        <v>SDWN EDCA51270</v>
      </c>
      <c r="E48" s="1" t="n">
        <v>0.55408</v>
      </c>
      <c r="F48" s="1" t="n">
        <v>0.14982</v>
      </c>
      <c r="G48" s="1" t="n">
        <v>0.44599</v>
      </c>
      <c r="H48" s="1" t="n">
        <v>0.21762</v>
      </c>
      <c r="I48" s="1" t="n">
        <v>0.9199</v>
      </c>
      <c r="J48" s="1" t="n">
        <v>0.53216</v>
      </c>
      <c r="K48" s="1" t="n">
        <v>1.17566</v>
      </c>
      <c r="L48" s="1" t="n">
        <v>0.45167</v>
      </c>
    </row>
    <row r="49" customFormat="false" ht="12.8" hidden="false" customHeight="false" outlineLevel="0" collapsed="false">
      <c r="A49" s="4" t="s">
        <v>13</v>
      </c>
      <c r="B49" s="4" t="n">
        <v>512</v>
      </c>
      <c r="C49" s="4" t="n">
        <v>80</v>
      </c>
      <c r="D49" s="1" t="str">
        <f aca="false">A49&amp;B49&amp;C49</f>
        <v>SDWN EDCA51280</v>
      </c>
      <c r="E49" s="1" t="n">
        <v>0.59032</v>
      </c>
      <c r="F49" s="1" t="n">
        <v>0.17001</v>
      </c>
      <c r="G49" s="1" t="n">
        <v>0.54653</v>
      </c>
      <c r="H49" s="1" t="n">
        <v>0.15984</v>
      </c>
      <c r="I49" s="1" t="n">
        <v>1.14619</v>
      </c>
      <c r="J49" s="1" t="n">
        <v>0.51019</v>
      </c>
      <c r="K49" s="1" t="n">
        <v>1.16159</v>
      </c>
      <c r="L49" s="1" t="n">
        <v>0.4423</v>
      </c>
    </row>
    <row r="50" customFormat="false" ht="12.8" hidden="false" customHeight="false" outlineLevel="0" collapsed="false">
      <c r="A50" s="4" t="s">
        <v>13</v>
      </c>
      <c r="B50" s="4" t="n">
        <v>512</v>
      </c>
      <c r="C50" s="4" t="n">
        <v>90</v>
      </c>
      <c r="D50" s="1" t="str">
        <f aca="false">A50&amp;B50&amp;C50</f>
        <v>SDWN EDCA51290</v>
      </c>
      <c r="E50" s="1" t="n">
        <v>0.75528</v>
      </c>
      <c r="F50" s="1" t="n">
        <v>0.72418</v>
      </c>
      <c r="G50" s="1" t="n">
        <v>0.72133</v>
      </c>
      <c r="H50" s="1" t="n">
        <v>0.38589</v>
      </c>
      <c r="I50" s="1" t="n">
        <v>1.21754</v>
      </c>
      <c r="J50" s="1" t="n">
        <v>0.53454</v>
      </c>
      <c r="K50" s="1" t="n">
        <v>1.45211</v>
      </c>
      <c r="L50" s="1" t="n">
        <v>0.61826</v>
      </c>
    </row>
    <row r="51" customFormat="false" ht="12.8" hidden="false" customHeight="false" outlineLevel="0" collapsed="false">
      <c r="A51" s="4" t="s">
        <v>13</v>
      </c>
      <c r="B51" s="4" t="n">
        <v>512</v>
      </c>
      <c r="C51" s="4" t="n">
        <v>100</v>
      </c>
      <c r="D51" s="1" t="str">
        <f aca="false">A51&amp;B51&amp;C51</f>
        <v>SDWN EDCA512100</v>
      </c>
      <c r="E51" s="1" t="n">
        <v>0.8539</v>
      </c>
      <c r="F51" s="1" t="n">
        <v>0.63286</v>
      </c>
      <c r="G51" s="1" t="n">
        <v>0.82307</v>
      </c>
      <c r="H51" s="1" t="n">
        <v>0.48726</v>
      </c>
      <c r="I51" s="1" t="n">
        <v>1.31274</v>
      </c>
      <c r="J51" s="1" t="n">
        <v>0.56904</v>
      </c>
      <c r="K51" s="1" t="n">
        <v>1.67193</v>
      </c>
      <c r="L51" s="1" t="n">
        <v>0.65371</v>
      </c>
    </row>
    <row r="52" customFormat="false" ht="12.8" hidden="false" customHeight="false" outlineLevel="0" collapsed="false">
      <c r="A52" s="4" t="s">
        <v>13</v>
      </c>
      <c r="B52" s="4" t="n">
        <v>1024</v>
      </c>
      <c r="C52" s="4" t="n">
        <v>10</v>
      </c>
      <c r="D52" s="1" t="str">
        <f aca="false">A52&amp;B52&amp;C52</f>
        <v>SDWN EDCA102410</v>
      </c>
      <c r="E52" s="1" t="n">
        <v>0.31402</v>
      </c>
      <c r="F52" s="1" t="n">
        <v>0.0837</v>
      </c>
      <c r="G52" s="1" t="n">
        <v>0.28367</v>
      </c>
      <c r="H52" s="1" t="n">
        <v>0.07819</v>
      </c>
      <c r="I52" s="1" t="n">
        <v>0.36211</v>
      </c>
      <c r="J52" s="1" t="n">
        <v>0.1039</v>
      </c>
      <c r="K52" s="1" t="n">
        <v>0.337</v>
      </c>
      <c r="L52" s="1" t="n">
        <v>0.13948</v>
      </c>
    </row>
    <row r="53" customFormat="false" ht="12.8" hidden="false" customHeight="false" outlineLevel="0" collapsed="false">
      <c r="A53" s="4" t="s">
        <v>13</v>
      </c>
      <c r="B53" s="4" t="n">
        <v>1024</v>
      </c>
      <c r="C53" s="4" t="n">
        <v>20</v>
      </c>
      <c r="D53" s="1" t="str">
        <f aca="false">A53&amp;B53&amp;C53</f>
        <v>SDWN EDCA102420</v>
      </c>
      <c r="E53" s="1" t="n">
        <v>0.32323</v>
      </c>
      <c r="F53" s="1" t="n">
        <v>0.08388</v>
      </c>
      <c r="G53" s="1" t="n">
        <v>0.30357</v>
      </c>
      <c r="H53" s="1" t="n">
        <v>0.10507</v>
      </c>
      <c r="I53" s="1" t="n">
        <v>0.30756</v>
      </c>
      <c r="J53" s="1" t="n">
        <v>0.12182</v>
      </c>
      <c r="K53" s="1" t="n">
        <v>0.3506</v>
      </c>
      <c r="L53" s="1" t="n">
        <v>0.1476</v>
      </c>
    </row>
    <row r="54" customFormat="false" ht="12.8" hidden="false" customHeight="false" outlineLevel="0" collapsed="false">
      <c r="A54" s="4" t="s">
        <v>13</v>
      </c>
      <c r="B54" s="4" t="n">
        <v>1024</v>
      </c>
      <c r="C54" s="4" t="n">
        <v>30</v>
      </c>
      <c r="D54" s="1" t="str">
        <f aca="false">A54&amp;B54&amp;C54</f>
        <v>SDWN EDCA102430</v>
      </c>
      <c r="E54" s="1" t="n">
        <v>0.33218</v>
      </c>
      <c r="F54" s="1" t="n">
        <v>0.10428</v>
      </c>
      <c r="G54" s="1" t="n">
        <v>0.32485</v>
      </c>
      <c r="H54" s="1" t="n">
        <v>0.10456</v>
      </c>
      <c r="I54" s="1" t="n">
        <v>0.31248</v>
      </c>
      <c r="J54" s="1" t="n">
        <v>0.12095</v>
      </c>
      <c r="K54" s="1" t="n">
        <v>0.33243</v>
      </c>
      <c r="L54" s="1" t="n">
        <v>0.12718</v>
      </c>
    </row>
    <row r="55" customFormat="false" ht="12.8" hidden="false" customHeight="false" outlineLevel="0" collapsed="false">
      <c r="A55" s="4" t="s">
        <v>13</v>
      </c>
      <c r="B55" s="4" t="n">
        <v>1024</v>
      </c>
      <c r="C55" s="4" t="n">
        <v>40</v>
      </c>
      <c r="D55" s="1" t="str">
        <f aca="false">A55&amp;B55&amp;C55</f>
        <v>SDWN EDCA102440</v>
      </c>
      <c r="E55" s="1" t="n">
        <v>0.36437</v>
      </c>
      <c r="F55" s="1" t="n">
        <v>0.10817</v>
      </c>
      <c r="G55" s="1" t="n">
        <v>0.30846</v>
      </c>
      <c r="H55" s="1" t="n">
        <v>0.10406</v>
      </c>
      <c r="I55" s="1" t="n">
        <v>0.35023</v>
      </c>
      <c r="J55" s="1" t="n">
        <v>0.14752</v>
      </c>
      <c r="K55" s="1" t="n">
        <v>0.35077</v>
      </c>
      <c r="L55" s="1" t="n">
        <v>0.12849</v>
      </c>
    </row>
    <row r="56" customFormat="false" ht="12.8" hidden="false" customHeight="false" outlineLevel="0" collapsed="false">
      <c r="A56" s="4" t="s">
        <v>13</v>
      </c>
      <c r="B56" s="4" t="n">
        <v>1024</v>
      </c>
      <c r="C56" s="4" t="n">
        <v>50</v>
      </c>
      <c r="D56" s="1" t="str">
        <f aca="false">A56&amp;B56&amp;C56</f>
        <v>SDWN EDCA102450</v>
      </c>
      <c r="E56" s="1" t="n">
        <v>0.68982</v>
      </c>
      <c r="F56" s="1" t="n">
        <v>0.30067</v>
      </c>
      <c r="G56" s="1" t="n">
        <v>0.3233</v>
      </c>
      <c r="H56" s="1" t="n">
        <v>0.11828</v>
      </c>
      <c r="I56" s="1" t="n">
        <v>0.34581</v>
      </c>
      <c r="J56" s="1" t="n">
        <v>0.13705</v>
      </c>
      <c r="K56" s="1" t="n">
        <v>1.47521</v>
      </c>
      <c r="L56" s="1" t="n">
        <v>0.93126</v>
      </c>
    </row>
    <row r="57" customFormat="false" ht="12.8" hidden="false" customHeight="false" outlineLevel="0" collapsed="false">
      <c r="A57" s="4" t="s">
        <v>13</v>
      </c>
      <c r="B57" s="4" t="n">
        <v>1024</v>
      </c>
      <c r="C57" s="4" t="n">
        <v>60</v>
      </c>
      <c r="D57" s="1" t="str">
        <f aca="false">A57&amp;B57&amp;C57</f>
        <v>SDWN EDCA102460</v>
      </c>
      <c r="E57" s="1" t="n">
        <v>0.82464</v>
      </c>
      <c r="F57" s="1" t="n">
        <v>0.24893</v>
      </c>
      <c r="G57" s="1" t="n">
        <v>0.50361</v>
      </c>
      <c r="H57" s="1" t="n">
        <v>0.29411</v>
      </c>
      <c r="I57" s="1" t="n">
        <v>0.75039</v>
      </c>
      <c r="J57" s="1" t="n">
        <v>0.69365</v>
      </c>
      <c r="K57" s="1" t="n">
        <v>1.64684</v>
      </c>
      <c r="L57" s="1" t="n">
        <v>0.70861</v>
      </c>
    </row>
    <row r="58" customFormat="false" ht="12.8" hidden="false" customHeight="false" outlineLevel="0" collapsed="false">
      <c r="A58" s="4" t="s">
        <v>13</v>
      </c>
      <c r="B58" s="4" t="n">
        <v>1024</v>
      </c>
      <c r="C58" s="4" t="n">
        <v>70</v>
      </c>
      <c r="D58" s="1" t="str">
        <f aca="false">A58&amp;B58&amp;C58</f>
        <v>SDWN EDCA102470</v>
      </c>
      <c r="E58" s="1" t="n">
        <v>0.79465</v>
      </c>
      <c r="F58" s="1" t="n">
        <v>0.2086</v>
      </c>
      <c r="G58" s="1" t="n">
        <v>0.62941</v>
      </c>
      <c r="H58" s="1" t="n">
        <v>0.30549</v>
      </c>
      <c r="I58" s="1" t="n">
        <v>1.22585</v>
      </c>
      <c r="J58" s="1" t="n">
        <v>0.69909</v>
      </c>
      <c r="K58" s="1" t="n">
        <v>1.52824</v>
      </c>
      <c r="L58" s="1" t="n">
        <v>0.60454</v>
      </c>
    </row>
    <row r="59" customFormat="false" ht="12.8" hidden="false" customHeight="false" outlineLevel="0" collapsed="false">
      <c r="A59" s="4" t="s">
        <v>13</v>
      </c>
      <c r="B59" s="4" t="n">
        <v>1024</v>
      </c>
      <c r="C59" s="4" t="n">
        <v>80</v>
      </c>
      <c r="D59" s="1" t="str">
        <f aca="false">A59&amp;B59&amp;C59</f>
        <v>SDWN EDCA102480</v>
      </c>
      <c r="E59" s="1" t="n">
        <v>0.85972</v>
      </c>
      <c r="F59" s="1" t="n">
        <v>0.24585</v>
      </c>
      <c r="G59" s="1" t="n">
        <v>0.77456</v>
      </c>
      <c r="H59" s="1" t="n">
        <v>0.22719</v>
      </c>
      <c r="I59" s="1" t="n">
        <v>1.5436</v>
      </c>
      <c r="J59" s="1" t="n">
        <v>0.729</v>
      </c>
      <c r="K59" s="1" t="n">
        <v>1.54287</v>
      </c>
      <c r="L59" s="1" t="n">
        <v>0.60741</v>
      </c>
    </row>
    <row r="60" customFormat="false" ht="12.8" hidden="false" customHeight="false" outlineLevel="0" collapsed="false">
      <c r="A60" s="4" t="s">
        <v>13</v>
      </c>
      <c r="B60" s="4" t="n">
        <v>1024</v>
      </c>
      <c r="C60" s="4" t="n">
        <v>90</v>
      </c>
      <c r="D60" s="1" t="str">
        <f aca="false">A60&amp;B60&amp;C60</f>
        <v>SDWN EDCA102490</v>
      </c>
      <c r="E60" s="1" t="n">
        <v>1.07451</v>
      </c>
      <c r="F60" s="1" t="n">
        <v>0.62568</v>
      </c>
      <c r="G60" s="1" t="n">
        <v>1.036</v>
      </c>
      <c r="H60" s="1" t="n">
        <v>0.61877</v>
      </c>
      <c r="I60" s="1" t="n">
        <v>1.62355</v>
      </c>
      <c r="J60" s="1" t="n">
        <v>0.7415</v>
      </c>
      <c r="K60" s="1" t="n">
        <v>2.0015</v>
      </c>
      <c r="L60" s="1" t="n">
        <v>0.90067</v>
      </c>
    </row>
    <row r="61" customFormat="false" ht="12.8" hidden="false" customHeight="false" outlineLevel="0" collapsed="false">
      <c r="A61" s="4" t="s">
        <v>13</v>
      </c>
      <c r="B61" s="4" t="n">
        <v>1024</v>
      </c>
      <c r="C61" s="4" t="n">
        <v>100</v>
      </c>
      <c r="D61" s="1" t="str">
        <f aca="false">A61&amp;B61&amp;C61</f>
        <v>SDWN EDCA1024100</v>
      </c>
      <c r="E61" s="1" t="n">
        <v>1.34967</v>
      </c>
      <c r="F61" s="1" t="n">
        <v>1.12153</v>
      </c>
      <c r="G61" s="1" t="n">
        <v>1.25547</v>
      </c>
      <c r="H61" s="1" t="n">
        <v>1.20379</v>
      </c>
      <c r="I61" s="1" t="n">
        <v>1.7862</v>
      </c>
      <c r="J61" s="1" t="n">
        <v>0.80032</v>
      </c>
      <c r="K61" s="1" t="n">
        <v>2.40077</v>
      </c>
      <c r="L61" s="1" t="n">
        <v>1.10487</v>
      </c>
    </row>
    <row r="62" customFormat="false" ht="12.8" hidden="false" customHeight="false" outlineLevel="0" collapsed="false">
      <c r="A62" s="4" t="s">
        <v>14</v>
      </c>
      <c r="B62" s="4" t="n">
        <v>256</v>
      </c>
      <c r="C62" s="4" t="n">
        <v>10</v>
      </c>
      <c r="D62" s="1" t="str">
        <f aca="false">A62&amp;B62&amp;C62</f>
        <v>SDWN MOD25610</v>
      </c>
      <c r="E62" s="0" t="n">
        <v>0.21486</v>
      </c>
      <c r="F62" s="0" t="n">
        <v>0.09119</v>
      </c>
      <c r="G62" s="0" t="n">
        <v>0.17467</v>
      </c>
      <c r="H62" s="0" t="n">
        <v>0.08042</v>
      </c>
      <c r="I62" s="0" t="n">
        <v>0.20322</v>
      </c>
      <c r="J62" s="0" t="n">
        <v>0.07579</v>
      </c>
      <c r="K62" s="0" t="n">
        <v>0.1885</v>
      </c>
      <c r="L62" s="0" t="n">
        <v>0.09224</v>
      </c>
    </row>
    <row r="63" customFormat="false" ht="12.8" hidden="false" customHeight="false" outlineLevel="0" collapsed="false">
      <c r="A63" s="4" t="s">
        <v>14</v>
      </c>
      <c r="B63" s="4" t="n">
        <v>256</v>
      </c>
      <c r="C63" s="4" t="n">
        <v>20</v>
      </c>
      <c r="D63" s="1" t="str">
        <f aca="false">A63&amp;B63&amp;C63</f>
        <v>SDWN MOD25620</v>
      </c>
      <c r="E63" s="0" t="n">
        <v>0.2233</v>
      </c>
      <c r="F63" s="0" t="n">
        <v>0.10191</v>
      </c>
      <c r="G63" s="0" t="n">
        <v>0.18988</v>
      </c>
      <c r="H63" s="0" t="n">
        <v>0.09799</v>
      </c>
      <c r="I63" s="0" t="n">
        <v>0.16422</v>
      </c>
      <c r="J63" s="0" t="n">
        <v>0.08392</v>
      </c>
      <c r="K63" s="0" t="n">
        <v>0.191</v>
      </c>
      <c r="L63" s="0" t="n">
        <v>0.09217</v>
      </c>
    </row>
    <row r="64" customFormat="false" ht="12.8" hidden="false" customHeight="false" outlineLevel="0" collapsed="false">
      <c r="A64" s="4" t="s">
        <v>14</v>
      </c>
      <c r="B64" s="4" t="n">
        <v>256</v>
      </c>
      <c r="C64" s="4" t="n">
        <v>30</v>
      </c>
      <c r="D64" s="1" t="str">
        <f aca="false">A64&amp;B64&amp;C64</f>
        <v>SDWN MOD25630</v>
      </c>
      <c r="E64" s="0" t="n">
        <v>0.22969</v>
      </c>
      <c r="F64" s="0" t="n">
        <v>0.10139</v>
      </c>
      <c r="G64" s="0" t="n">
        <v>0.20205</v>
      </c>
      <c r="H64" s="0" t="n">
        <v>0.09765</v>
      </c>
      <c r="I64" s="0" t="n">
        <v>0.17197</v>
      </c>
      <c r="J64" s="0" t="n">
        <v>0.08985</v>
      </c>
      <c r="K64" s="0" t="n">
        <v>0.17702</v>
      </c>
      <c r="L64" s="0" t="n">
        <v>0.07849</v>
      </c>
    </row>
    <row r="65" customFormat="false" ht="12.8" hidden="false" customHeight="false" outlineLevel="0" collapsed="false">
      <c r="A65" s="4" t="s">
        <v>14</v>
      </c>
      <c r="B65" s="4" t="n">
        <v>256</v>
      </c>
      <c r="C65" s="4" t="n">
        <v>40</v>
      </c>
      <c r="D65" s="1" t="str">
        <f aca="false">A65&amp;B65&amp;C65</f>
        <v>SDWN MOD25640</v>
      </c>
      <c r="E65" s="0" t="n">
        <v>0.2603</v>
      </c>
      <c r="F65" s="0" t="n">
        <v>0.10814</v>
      </c>
      <c r="G65" s="0" t="n">
        <v>0.1837</v>
      </c>
      <c r="H65" s="0" t="n">
        <v>0.08683</v>
      </c>
      <c r="I65" s="0" t="n">
        <v>0.19048</v>
      </c>
      <c r="J65" s="0" t="n">
        <v>0.10146</v>
      </c>
      <c r="K65" s="0" t="n">
        <v>0.20553</v>
      </c>
      <c r="L65" s="0" t="n">
        <v>0.18974</v>
      </c>
    </row>
    <row r="66" customFormat="false" ht="12.8" hidden="false" customHeight="false" outlineLevel="0" collapsed="false">
      <c r="A66" s="4" t="s">
        <v>14</v>
      </c>
      <c r="B66" s="4" t="n">
        <v>256</v>
      </c>
      <c r="C66" s="4" t="n">
        <v>50</v>
      </c>
      <c r="D66" s="1" t="str">
        <f aca="false">A66&amp;B66&amp;C66</f>
        <v>SDWN MOD25650</v>
      </c>
      <c r="E66" s="0" t="n">
        <v>0.61098</v>
      </c>
      <c r="F66" s="0" t="n">
        <v>0.31711</v>
      </c>
      <c r="G66" s="0" t="n">
        <v>0.19845</v>
      </c>
      <c r="H66" s="0" t="n">
        <v>0.18405</v>
      </c>
      <c r="I66" s="0" t="n">
        <v>0.18126</v>
      </c>
      <c r="J66" s="0" t="n">
        <v>0.08461</v>
      </c>
      <c r="K66" s="0" t="n">
        <v>0.85395</v>
      </c>
      <c r="L66" s="0" t="n">
        <v>0.51575</v>
      </c>
    </row>
    <row r="67" customFormat="false" ht="12.8" hidden="false" customHeight="false" outlineLevel="0" collapsed="false">
      <c r="A67" s="4" t="s">
        <v>14</v>
      </c>
      <c r="B67" s="4" t="n">
        <v>256</v>
      </c>
      <c r="C67" s="4" t="n">
        <v>60</v>
      </c>
      <c r="D67" s="1" t="str">
        <f aca="false">A67&amp;B67&amp;C67</f>
        <v>SDWN MOD25660</v>
      </c>
      <c r="E67" s="0" t="n">
        <v>0.72113</v>
      </c>
      <c r="F67" s="0" t="n">
        <v>0.24884</v>
      </c>
      <c r="G67" s="0" t="n">
        <v>0.35193</v>
      </c>
      <c r="H67" s="0" t="n">
        <v>0.25745</v>
      </c>
      <c r="I67" s="0" t="n">
        <v>0.39831</v>
      </c>
      <c r="J67" s="0" t="n">
        <v>0.37846</v>
      </c>
      <c r="K67" s="0" t="n">
        <v>0.94088</v>
      </c>
      <c r="L67" s="0" t="n">
        <v>0.33699</v>
      </c>
    </row>
    <row r="68" customFormat="false" ht="12.8" hidden="false" customHeight="false" outlineLevel="0" collapsed="false">
      <c r="A68" s="4" t="s">
        <v>14</v>
      </c>
      <c r="B68" s="4" t="n">
        <v>256</v>
      </c>
      <c r="C68" s="4" t="n">
        <v>70</v>
      </c>
      <c r="D68" s="1" t="str">
        <f aca="false">A68&amp;B68&amp;C68</f>
        <v>SDWN MOD25670</v>
      </c>
      <c r="E68" s="0" t="n">
        <v>0.6939</v>
      </c>
      <c r="F68" s="0" t="n">
        <v>0.24874</v>
      </c>
      <c r="G68" s="0" t="n">
        <v>0.46175</v>
      </c>
      <c r="H68" s="0" t="n">
        <v>0.27467</v>
      </c>
      <c r="I68" s="0" t="n">
        <v>0.65036</v>
      </c>
      <c r="J68" s="0" t="n">
        <v>0.36757</v>
      </c>
      <c r="K68" s="0" t="n">
        <v>0.93509</v>
      </c>
      <c r="L68" s="0" t="n">
        <v>0.36376</v>
      </c>
    </row>
    <row r="69" customFormat="false" ht="12.8" hidden="false" customHeight="false" outlineLevel="0" collapsed="false">
      <c r="A69" s="4" t="s">
        <v>14</v>
      </c>
      <c r="B69" s="4" t="n">
        <v>256</v>
      </c>
      <c r="C69" s="4" t="n">
        <v>80</v>
      </c>
      <c r="D69" s="1" t="str">
        <f aca="false">A69&amp;B69&amp;C69</f>
        <v>SDWN MOD25680</v>
      </c>
      <c r="E69" s="0" t="n">
        <v>0.71993</v>
      </c>
      <c r="F69" s="0" t="n">
        <v>0.22481</v>
      </c>
      <c r="G69" s="0" t="n">
        <v>0.58794</v>
      </c>
      <c r="H69" s="0" t="n">
        <v>0.23874</v>
      </c>
      <c r="I69" s="0" t="n">
        <v>0.81373</v>
      </c>
      <c r="J69" s="0" t="n">
        <v>0.33018</v>
      </c>
      <c r="K69" s="0" t="n">
        <v>0.92765</v>
      </c>
      <c r="L69" s="0" t="n">
        <v>0.36757</v>
      </c>
    </row>
    <row r="70" customFormat="false" ht="12.8" hidden="false" customHeight="false" outlineLevel="0" collapsed="false">
      <c r="A70" s="4" t="s">
        <v>14</v>
      </c>
      <c r="B70" s="4" t="n">
        <v>256</v>
      </c>
      <c r="C70" s="4" t="n">
        <v>90</v>
      </c>
      <c r="D70" s="1" t="str">
        <f aca="false">A70&amp;B70&amp;C70</f>
        <v>SDWN MOD25690</v>
      </c>
      <c r="E70" s="0" t="n">
        <v>0.88248</v>
      </c>
      <c r="F70" s="0" t="n">
        <v>0.37861</v>
      </c>
      <c r="G70" s="0" t="n">
        <v>0.71027</v>
      </c>
      <c r="H70" s="0" t="n">
        <v>0.29761</v>
      </c>
      <c r="I70" s="0" t="n">
        <v>0.86981</v>
      </c>
      <c r="J70" s="0" t="n">
        <v>0.33685</v>
      </c>
      <c r="K70" s="0" t="n">
        <v>1.09594</v>
      </c>
      <c r="L70" s="0" t="n">
        <v>0.42042</v>
      </c>
    </row>
    <row r="71" customFormat="false" ht="12.8" hidden="false" customHeight="false" outlineLevel="0" collapsed="false">
      <c r="A71" s="4" t="s">
        <v>14</v>
      </c>
      <c r="B71" s="4" t="n">
        <v>256</v>
      </c>
      <c r="C71" s="4" t="n">
        <v>100</v>
      </c>
      <c r="D71" s="1" t="str">
        <f aca="false">A71&amp;B71&amp;C71</f>
        <v>SDWN MOD256100</v>
      </c>
      <c r="E71" s="0" t="n">
        <v>1.00335</v>
      </c>
      <c r="F71" s="0" t="n">
        <v>0.40243</v>
      </c>
      <c r="G71" s="0" t="n">
        <v>0.78004</v>
      </c>
      <c r="H71" s="0" t="n">
        <v>0.35176</v>
      </c>
      <c r="I71" s="0" t="n">
        <v>0.91596</v>
      </c>
      <c r="J71" s="0" t="n">
        <v>0.33683</v>
      </c>
      <c r="K71" s="0" t="n">
        <v>1.22916</v>
      </c>
      <c r="L71" s="0" t="n">
        <v>0.43021</v>
      </c>
    </row>
    <row r="72" customFormat="false" ht="12.8" hidden="false" customHeight="false" outlineLevel="0" collapsed="false">
      <c r="A72" s="4" t="s">
        <v>14</v>
      </c>
      <c r="B72" s="4" t="n">
        <v>512</v>
      </c>
      <c r="C72" s="4" t="n">
        <v>10</v>
      </c>
      <c r="D72" s="1" t="str">
        <f aca="false">A72&amp;B72&amp;C72</f>
        <v>SDWN MOD51210</v>
      </c>
      <c r="E72" s="0" t="n">
        <v>0.27341</v>
      </c>
      <c r="F72" s="0" t="n">
        <v>0.11951</v>
      </c>
      <c r="G72" s="0" t="n">
        <v>0.22367</v>
      </c>
      <c r="H72" s="0" t="n">
        <v>0.09234</v>
      </c>
      <c r="I72" s="0" t="n">
        <v>0.25621</v>
      </c>
      <c r="J72" s="0" t="n">
        <v>0.08551</v>
      </c>
      <c r="K72" s="0" t="n">
        <v>0.2275</v>
      </c>
      <c r="L72" s="0" t="n">
        <v>0.0943</v>
      </c>
    </row>
    <row r="73" customFormat="false" ht="12.8" hidden="false" customHeight="false" outlineLevel="0" collapsed="false">
      <c r="A73" s="4" t="s">
        <v>14</v>
      </c>
      <c r="B73" s="4" t="n">
        <v>512</v>
      </c>
      <c r="C73" s="4" t="n">
        <v>20</v>
      </c>
      <c r="D73" s="1" t="str">
        <f aca="false">A73&amp;B73&amp;C73</f>
        <v>SDWN MOD51220</v>
      </c>
      <c r="E73" s="0" t="n">
        <v>0.27528</v>
      </c>
      <c r="F73" s="0" t="n">
        <v>0.10837</v>
      </c>
      <c r="G73" s="0" t="n">
        <v>0.24246</v>
      </c>
      <c r="H73" s="0" t="n">
        <v>0.11459</v>
      </c>
      <c r="I73" s="0" t="n">
        <v>0.20961</v>
      </c>
      <c r="J73" s="0" t="n">
        <v>0.09915</v>
      </c>
      <c r="K73" s="0" t="n">
        <v>0.24</v>
      </c>
      <c r="L73" s="0" t="n">
        <v>0.10482</v>
      </c>
    </row>
    <row r="74" customFormat="false" ht="12.8" hidden="false" customHeight="false" outlineLevel="0" collapsed="false">
      <c r="A74" s="4" t="s">
        <v>14</v>
      </c>
      <c r="B74" s="4" t="n">
        <v>512</v>
      </c>
      <c r="C74" s="4" t="n">
        <v>30</v>
      </c>
      <c r="D74" s="1" t="str">
        <f aca="false">A74&amp;B74&amp;C74</f>
        <v>SDWN MOD51230</v>
      </c>
      <c r="E74" s="0" t="n">
        <v>0.28473</v>
      </c>
      <c r="F74" s="0" t="n">
        <v>0.12641</v>
      </c>
      <c r="G74" s="0" t="n">
        <v>0.25587</v>
      </c>
      <c r="H74" s="0" t="n">
        <v>0.10719</v>
      </c>
      <c r="I74" s="0" t="n">
        <v>0.21478</v>
      </c>
      <c r="J74" s="0" t="n">
        <v>0.09613</v>
      </c>
      <c r="K74" s="0" t="n">
        <v>0.2263</v>
      </c>
      <c r="L74" s="0" t="n">
        <v>0.09325</v>
      </c>
    </row>
    <row r="75" customFormat="false" ht="12.8" hidden="false" customHeight="false" outlineLevel="0" collapsed="false">
      <c r="A75" s="4" t="s">
        <v>14</v>
      </c>
      <c r="B75" s="4" t="n">
        <v>512</v>
      </c>
      <c r="C75" s="4" t="n">
        <v>40</v>
      </c>
      <c r="D75" s="1" t="str">
        <f aca="false">A75&amp;B75&amp;C75</f>
        <v>SDWN MOD51240</v>
      </c>
      <c r="E75" s="0" t="n">
        <v>0.32381</v>
      </c>
      <c r="F75" s="0" t="n">
        <v>0.12867</v>
      </c>
      <c r="G75" s="0" t="n">
        <v>0.22874</v>
      </c>
      <c r="H75" s="0" t="n">
        <v>0.09515</v>
      </c>
      <c r="I75" s="0" t="n">
        <v>0.23458</v>
      </c>
      <c r="J75" s="0" t="n">
        <v>0.10436</v>
      </c>
      <c r="K75" s="0" t="n">
        <v>0.25273</v>
      </c>
      <c r="L75" s="0" t="n">
        <v>0.19538</v>
      </c>
    </row>
    <row r="76" customFormat="false" ht="12.8" hidden="false" customHeight="false" outlineLevel="0" collapsed="false">
      <c r="A76" s="4" t="s">
        <v>14</v>
      </c>
      <c r="B76" s="4" t="n">
        <v>512</v>
      </c>
      <c r="C76" s="4" t="n">
        <v>50</v>
      </c>
      <c r="D76" s="1" t="str">
        <f aca="false">A76&amp;B76&amp;C76</f>
        <v>SDWN MOD51250</v>
      </c>
      <c r="E76" s="0" t="n">
        <v>0.72774</v>
      </c>
      <c r="F76" s="0" t="n">
        <v>0.3746</v>
      </c>
      <c r="G76" s="0" t="n">
        <v>0.24685</v>
      </c>
      <c r="H76" s="0" t="n">
        <v>0.1883</v>
      </c>
      <c r="I76" s="0" t="n">
        <v>0.23013</v>
      </c>
      <c r="J76" s="0" t="n">
        <v>0.09366</v>
      </c>
      <c r="K76" s="0" t="n">
        <v>1.00261</v>
      </c>
      <c r="L76" s="0" t="n">
        <v>0.6099</v>
      </c>
    </row>
    <row r="77" customFormat="false" ht="12.8" hidden="false" customHeight="false" outlineLevel="0" collapsed="false">
      <c r="A77" s="4" t="s">
        <v>14</v>
      </c>
      <c r="B77" s="4" t="n">
        <v>512</v>
      </c>
      <c r="C77" s="4" t="n">
        <v>60</v>
      </c>
      <c r="D77" s="1" t="str">
        <f aca="false">A77&amp;B77&amp;C77</f>
        <v>SDWN MOD51260</v>
      </c>
      <c r="E77" s="0" t="n">
        <v>0.86073</v>
      </c>
      <c r="F77" s="0" t="n">
        <v>0.29304</v>
      </c>
      <c r="G77" s="0" t="n">
        <v>0.43306</v>
      </c>
      <c r="H77" s="0" t="n">
        <v>0.31688</v>
      </c>
      <c r="I77" s="0" t="n">
        <v>0.48187</v>
      </c>
      <c r="J77" s="0" t="n">
        <v>0.43973</v>
      </c>
      <c r="K77" s="0" t="n">
        <v>1.08976</v>
      </c>
      <c r="L77" s="0" t="n">
        <v>0.39886</v>
      </c>
    </row>
    <row r="78" customFormat="false" ht="12.8" hidden="false" customHeight="false" outlineLevel="0" collapsed="false">
      <c r="A78" s="4" t="s">
        <v>14</v>
      </c>
      <c r="B78" s="4" t="n">
        <v>512</v>
      </c>
      <c r="C78" s="4" t="n">
        <v>70</v>
      </c>
      <c r="D78" s="1" t="str">
        <f aca="false">A78&amp;B78&amp;C78</f>
        <v>SDWN MOD51270</v>
      </c>
      <c r="E78" s="0" t="n">
        <v>0.83783</v>
      </c>
      <c r="F78" s="0" t="n">
        <v>0.26171</v>
      </c>
      <c r="G78" s="0" t="n">
        <v>0.56008</v>
      </c>
      <c r="H78" s="0" t="n">
        <v>0.33909</v>
      </c>
      <c r="I78" s="0" t="n">
        <v>0.77538</v>
      </c>
      <c r="J78" s="0" t="n">
        <v>0.43315</v>
      </c>
      <c r="K78" s="0" t="n">
        <v>1.09036</v>
      </c>
      <c r="L78" s="0" t="n">
        <v>0.47937</v>
      </c>
    </row>
    <row r="79" customFormat="false" ht="12.8" hidden="false" customHeight="false" outlineLevel="0" collapsed="false">
      <c r="A79" s="4" t="s">
        <v>14</v>
      </c>
      <c r="B79" s="4" t="n">
        <v>512</v>
      </c>
      <c r="C79" s="4" t="n">
        <v>80</v>
      </c>
      <c r="D79" s="1" t="str">
        <f aca="false">A79&amp;B79&amp;C79</f>
        <v>SDWN MOD51280</v>
      </c>
      <c r="E79" s="0" t="n">
        <v>0.88081</v>
      </c>
      <c r="F79" s="0" t="n">
        <v>0.32715</v>
      </c>
      <c r="G79" s="0" t="n">
        <v>0.70267</v>
      </c>
      <c r="H79" s="0" t="n">
        <v>0.23615</v>
      </c>
      <c r="I79" s="0" t="n">
        <v>0.96183</v>
      </c>
      <c r="J79" s="0" t="n">
        <v>0.40535</v>
      </c>
      <c r="K79" s="0" t="n">
        <v>1.06423</v>
      </c>
      <c r="L79" s="0" t="n">
        <v>0.3883</v>
      </c>
    </row>
    <row r="80" customFormat="false" ht="12.8" hidden="false" customHeight="false" outlineLevel="0" collapsed="false">
      <c r="A80" s="4" t="s">
        <v>14</v>
      </c>
      <c r="B80" s="4" t="n">
        <v>512</v>
      </c>
      <c r="C80" s="4" t="n">
        <v>90</v>
      </c>
      <c r="D80" s="1" t="str">
        <f aca="false">A80&amp;B80&amp;C80</f>
        <v>SDWN MOD51290</v>
      </c>
      <c r="E80" s="0" t="n">
        <v>1.08055</v>
      </c>
      <c r="F80" s="0" t="n">
        <v>0.48971</v>
      </c>
      <c r="G80" s="0" t="n">
        <v>0.86716</v>
      </c>
      <c r="H80" s="0" t="n">
        <v>0.38085</v>
      </c>
      <c r="I80" s="0" t="n">
        <v>1.04007</v>
      </c>
      <c r="J80" s="0" t="n">
        <v>0.43859</v>
      </c>
      <c r="K80" s="0" t="n">
        <v>1.28616</v>
      </c>
      <c r="L80" s="0" t="n">
        <v>0.50516</v>
      </c>
    </row>
    <row r="81" customFormat="false" ht="12.8" hidden="false" customHeight="false" outlineLevel="0" collapsed="false">
      <c r="A81" s="4" t="s">
        <v>14</v>
      </c>
      <c r="B81" s="4" t="n">
        <v>512</v>
      </c>
      <c r="C81" s="4" t="n">
        <v>100</v>
      </c>
      <c r="D81" s="1" t="str">
        <f aca="false">A81&amp;B81&amp;C81</f>
        <v>SDWN MOD512100</v>
      </c>
      <c r="E81" s="0" t="n">
        <v>1.24347</v>
      </c>
      <c r="F81" s="0" t="n">
        <v>0.53258</v>
      </c>
      <c r="G81" s="0" t="n">
        <v>0.94411</v>
      </c>
      <c r="H81" s="0" t="n">
        <v>0.41903</v>
      </c>
      <c r="I81" s="0" t="n">
        <v>1.0976</v>
      </c>
      <c r="J81" s="0" t="n">
        <v>0.45029</v>
      </c>
      <c r="K81" s="0" t="n">
        <v>1.46936</v>
      </c>
      <c r="L81" s="0" t="n">
        <v>0.53526</v>
      </c>
    </row>
    <row r="82" customFormat="false" ht="12.8" hidden="false" customHeight="false" outlineLevel="0" collapsed="false">
      <c r="A82" s="4" t="s">
        <v>14</v>
      </c>
      <c r="B82" s="4" t="n">
        <v>1024</v>
      </c>
      <c r="C82" s="4" t="n">
        <v>10</v>
      </c>
      <c r="D82" s="1" t="str">
        <f aca="false">A82&amp;B82&amp;C82</f>
        <v>SDWN MOD102410</v>
      </c>
      <c r="E82" s="0" t="n">
        <v>0.37747</v>
      </c>
      <c r="F82" s="0" t="n">
        <v>0.13554</v>
      </c>
      <c r="G82" s="0" t="n">
        <v>0.32933</v>
      </c>
      <c r="H82" s="0" t="n">
        <v>0.13138</v>
      </c>
      <c r="I82" s="0" t="n">
        <v>0.3642</v>
      </c>
      <c r="J82" s="0" t="n">
        <v>0.1079</v>
      </c>
      <c r="K82" s="0" t="n">
        <v>0.3365</v>
      </c>
      <c r="L82" s="0" t="n">
        <v>0.12934</v>
      </c>
    </row>
    <row r="83" customFormat="false" ht="12.8" hidden="false" customHeight="false" outlineLevel="0" collapsed="false">
      <c r="A83" s="4" t="s">
        <v>14</v>
      </c>
      <c r="B83" s="4" t="n">
        <v>1024</v>
      </c>
      <c r="C83" s="4" t="n">
        <v>20</v>
      </c>
      <c r="D83" s="1" t="str">
        <f aca="false">A83&amp;B83&amp;C83</f>
        <v>SDWN MOD102420</v>
      </c>
      <c r="E83" s="0" t="n">
        <v>0.38665</v>
      </c>
      <c r="F83" s="0" t="n">
        <v>0.13196</v>
      </c>
      <c r="G83" s="0" t="n">
        <v>0.34668</v>
      </c>
      <c r="H83" s="0" t="n">
        <v>0.15242</v>
      </c>
      <c r="I83" s="0" t="n">
        <v>0.29707</v>
      </c>
      <c r="J83" s="0" t="n">
        <v>0.10558</v>
      </c>
      <c r="K83" s="0" t="n">
        <v>0.3486</v>
      </c>
      <c r="L83" s="0" t="n">
        <v>0.14083</v>
      </c>
    </row>
    <row r="84" customFormat="false" ht="12.8" hidden="false" customHeight="false" outlineLevel="0" collapsed="false">
      <c r="A84" s="4" t="s">
        <v>14</v>
      </c>
      <c r="B84" s="4" t="n">
        <v>1024</v>
      </c>
      <c r="C84" s="4" t="n">
        <v>30</v>
      </c>
      <c r="D84" s="1" t="str">
        <f aca="false">A84&amp;B84&amp;C84</f>
        <v>SDWN MOD102430</v>
      </c>
      <c r="E84" s="0" t="n">
        <v>0.39994</v>
      </c>
      <c r="F84" s="0" t="n">
        <v>0.15548</v>
      </c>
      <c r="G84" s="0" t="n">
        <v>0.3667</v>
      </c>
      <c r="H84" s="0" t="n">
        <v>0.14306</v>
      </c>
      <c r="I84" s="0" t="n">
        <v>0.31414</v>
      </c>
      <c r="J84" s="0" t="n">
        <v>0.12759</v>
      </c>
      <c r="K84" s="0" t="n">
        <v>0.32667</v>
      </c>
      <c r="L84" s="0" t="n">
        <v>0.12619</v>
      </c>
    </row>
    <row r="85" customFormat="false" ht="12.8" hidden="false" customHeight="false" outlineLevel="0" collapsed="false">
      <c r="A85" s="4" t="s">
        <v>14</v>
      </c>
      <c r="B85" s="4" t="n">
        <v>1024</v>
      </c>
      <c r="C85" s="4" t="n">
        <v>40</v>
      </c>
      <c r="D85" s="1" t="str">
        <f aca="false">A85&amp;B85&amp;C85</f>
        <v>SDWN MOD102440</v>
      </c>
      <c r="E85" s="0" t="n">
        <v>0.43337</v>
      </c>
      <c r="F85" s="0" t="n">
        <v>0.14933</v>
      </c>
      <c r="G85" s="0" t="n">
        <v>0.34038</v>
      </c>
      <c r="H85" s="0" t="n">
        <v>0.13446</v>
      </c>
      <c r="I85" s="0" t="n">
        <v>0.33395</v>
      </c>
      <c r="J85" s="0" t="n">
        <v>0.1304</v>
      </c>
      <c r="K85" s="0" t="n">
        <v>0.35177</v>
      </c>
      <c r="L85" s="0" t="n">
        <v>0.13211</v>
      </c>
    </row>
    <row r="86" customFormat="false" ht="12.8" hidden="false" customHeight="false" outlineLevel="0" collapsed="false">
      <c r="A86" s="4" t="s">
        <v>14</v>
      </c>
      <c r="B86" s="4" t="n">
        <v>1024</v>
      </c>
      <c r="C86" s="4" t="n">
        <v>50</v>
      </c>
      <c r="D86" s="1" t="str">
        <f aca="false">A86&amp;B86&amp;C86</f>
        <v>SDWN MOD102450</v>
      </c>
      <c r="E86" s="0" t="n">
        <v>1.03529</v>
      </c>
      <c r="F86" s="0" t="n">
        <v>0.60986</v>
      </c>
      <c r="G86" s="0" t="n">
        <v>0.34924</v>
      </c>
      <c r="H86" s="0" t="n">
        <v>0.22127</v>
      </c>
      <c r="I86" s="0" t="n">
        <v>0.32916</v>
      </c>
      <c r="J86" s="0" t="n">
        <v>0.1203</v>
      </c>
      <c r="K86" s="0" t="n">
        <v>1.3145</v>
      </c>
      <c r="L86" s="0" t="n">
        <v>0.79282</v>
      </c>
    </row>
    <row r="87" customFormat="false" ht="12.8" hidden="false" customHeight="false" outlineLevel="0" collapsed="false">
      <c r="A87" s="4" t="s">
        <v>14</v>
      </c>
      <c r="B87" s="4" t="n">
        <v>1024</v>
      </c>
      <c r="C87" s="4" t="n">
        <v>60</v>
      </c>
      <c r="D87" s="1" t="str">
        <f aca="false">A87&amp;B87&amp;C87</f>
        <v>SDWN MOD102460</v>
      </c>
      <c r="E87" s="0" t="n">
        <v>1.20156</v>
      </c>
      <c r="F87" s="0" t="n">
        <v>0.47908</v>
      </c>
      <c r="G87" s="0" t="n">
        <v>0.60513</v>
      </c>
      <c r="H87" s="0" t="n">
        <v>0.44148</v>
      </c>
      <c r="I87" s="0" t="n">
        <v>0.65902</v>
      </c>
      <c r="J87" s="0" t="n">
        <v>0.58602</v>
      </c>
      <c r="K87" s="0" t="n">
        <v>1.44611</v>
      </c>
      <c r="L87" s="0" t="n">
        <v>0.59093</v>
      </c>
    </row>
    <row r="88" customFormat="false" ht="12.8" hidden="false" customHeight="false" outlineLevel="0" collapsed="false">
      <c r="A88" s="4" t="s">
        <v>14</v>
      </c>
      <c r="B88" s="4" t="n">
        <v>1024</v>
      </c>
      <c r="C88" s="4" t="n">
        <v>70</v>
      </c>
      <c r="D88" s="1" t="str">
        <f aca="false">A88&amp;B88&amp;C88</f>
        <v>SDWN MOD102470</v>
      </c>
      <c r="E88" s="0" t="n">
        <v>1.14572</v>
      </c>
      <c r="F88" s="0" t="n">
        <v>0.37302</v>
      </c>
      <c r="G88" s="0" t="n">
        <v>0.80028</v>
      </c>
      <c r="H88" s="0" t="n">
        <v>0.50316</v>
      </c>
      <c r="I88" s="0" t="n">
        <v>1.03926</v>
      </c>
      <c r="J88" s="0" t="n">
        <v>0.56936</v>
      </c>
      <c r="K88" s="0" t="n">
        <v>1.40209</v>
      </c>
      <c r="L88" s="0" t="n">
        <v>0.52471</v>
      </c>
    </row>
    <row r="89" customFormat="false" ht="12.8" hidden="false" customHeight="false" outlineLevel="0" collapsed="false">
      <c r="A89" s="4" t="s">
        <v>14</v>
      </c>
      <c r="B89" s="4" t="n">
        <v>1024</v>
      </c>
      <c r="C89" s="4" t="n">
        <v>80</v>
      </c>
      <c r="D89" s="1" t="str">
        <f aca="false">A89&amp;B89&amp;C89</f>
        <v>SDWN MOD102480</v>
      </c>
      <c r="E89" s="0" t="n">
        <v>1.1893</v>
      </c>
      <c r="F89" s="0" t="n">
        <v>0.40796</v>
      </c>
      <c r="G89" s="0" t="n">
        <v>0.97864</v>
      </c>
      <c r="H89" s="0" t="n">
        <v>0.36937</v>
      </c>
      <c r="I89" s="0" t="n">
        <v>1.29956</v>
      </c>
      <c r="J89" s="0" t="n">
        <v>0.58214</v>
      </c>
      <c r="K89" s="0" t="n">
        <v>1.38215</v>
      </c>
      <c r="L89" s="0" t="n">
        <v>0.51088</v>
      </c>
    </row>
    <row r="90" customFormat="false" ht="12.8" hidden="false" customHeight="false" outlineLevel="0" collapsed="false">
      <c r="A90" s="4" t="s">
        <v>14</v>
      </c>
      <c r="B90" s="4" t="n">
        <v>1024</v>
      </c>
      <c r="C90" s="4" t="n">
        <v>90</v>
      </c>
      <c r="D90" s="1" t="str">
        <f aca="false">A90&amp;B90&amp;C90</f>
        <v>SDWN MOD102490</v>
      </c>
      <c r="E90" s="0" t="n">
        <v>1.5229</v>
      </c>
      <c r="F90" s="0" t="n">
        <v>0.76127</v>
      </c>
      <c r="G90" s="0" t="n">
        <v>1.21382</v>
      </c>
      <c r="H90" s="0" t="n">
        <v>0.56973</v>
      </c>
      <c r="I90" s="0" t="n">
        <v>1.39342</v>
      </c>
      <c r="J90" s="0" t="n">
        <v>0.61412</v>
      </c>
      <c r="K90" s="0" t="n">
        <v>1.72522</v>
      </c>
      <c r="L90" s="0" t="n">
        <v>0.71815</v>
      </c>
    </row>
    <row r="91" customFormat="false" ht="12.8" hidden="false" customHeight="false" outlineLevel="0" collapsed="false">
      <c r="A91" s="4" t="s">
        <v>14</v>
      </c>
      <c r="B91" s="4" t="n">
        <v>1024</v>
      </c>
      <c r="C91" s="4" t="n">
        <v>100</v>
      </c>
      <c r="D91" s="1" t="str">
        <f aca="false">A91&amp;B91&amp;C91</f>
        <v>SDWN MOD1024100</v>
      </c>
      <c r="E91" s="0" t="n">
        <v>1.76647</v>
      </c>
      <c r="F91" s="0" t="n">
        <v>0.7991</v>
      </c>
      <c r="G91" s="0" t="n">
        <v>1.32504</v>
      </c>
      <c r="H91" s="0" t="n">
        <v>0.625</v>
      </c>
      <c r="I91" s="0" t="n">
        <v>1.52206</v>
      </c>
      <c r="J91" s="0" t="n">
        <v>0.67811</v>
      </c>
      <c r="K91" s="0" t="n">
        <v>1.99651</v>
      </c>
      <c r="L91" s="0" t="n">
        <v>0.79369</v>
      </c>
    </row>
    <row r="92" customFormat="false" ht="12.8" hidden="false" customHeight="false" outlineLevel="0" collapsed="false">
      <c r="A92" s="4" t="s">
        <v>15</v>
      </c>
      <c r="B92" s="4" t="n">
        <v>256</v>
      </c>
      <c r="C92" s="4" t="n">
        <v>10</v>
      </c>
      <c r="D92" s="1" t="str">
        <f aca="false">A92&amp;B92&amp;C92</f>
        <v>SDWN IA25610</v>
      </c>
      <c r="E92" s="1" t="n">
        <v>0.14655</v>
      </c>
      <c r="F92" s="1" t="n">
        <v>0.04412</v>
      </c>
      <c r="G92" s="1" t="n">
        <v>0.14176</v>
      </c>
      <c r="H92" s="1" t="n">
        <v>0.0416</v>
      </c>
      <c r="I92" s="1" t="n">
        <v>0.14582</v>
      </c>
      <c r="J92" s="1" t="n">
        <v>0.05876</v>
      </c>
      <c r="K92" s="1" t="n">
        <v>0.1415</v>
      </c>
      <c r="L92" s="1" t="n">
        <v>0.06523</v>
      </c>
    </row>
    <row r="93" customFormat="false" ht="12.8" hidden="false" customHeight="false" outlineLevel="0" collapsed="false">
      <c r="A93" s="4" t="s">
        <v>15</v>
      </c>
      <c r="B93" s="4" t="n">
        <v>256</v>
      </c>
      <c r="C93" s="4" t="n">
        <v>20</v>
      </c>
      <c r="D93" s="1" t="str">
        <f aca="false">A93&amp;B93&amp;C93</f>
        <v>SDWN IA25620</v>
      </c>
      <c r="E93" s="1" t="n">
        <v>0.20264</v>
      </c>
      <c r="F93" s="1" t="n">
        <v>0.25467</v>
      </c>
      <c r="G93" s="1" t="n">
        <v>0.16841</v>
      </c>
      <c r="H93" s="1" t="n">
        <v>0.06325</v>
      </c>
      <c r="I93" s="1" t="n">
        <v>0.14864</v>
      </c>
      <c r="J93" s="1" t="n">
        <v>0.05585</v>
      </c>
      <c r="K93" s="1" t="n">
        <v>0.1708</v>
      </c>
      <c r="L93" s="1" t="n">
        <v>0.08154</v>
      </c>
    </row>
    <row r="94" customFormat="false" ht="12.8" hidden="false" customHeight="false" outlineLevel="0" collapsed="false">
      <c r="A94" s="4" t="s">
        <v>15</v>
      </c>
      <c r="B94" s="4" t="n">
        <v>256</v>
      </c>
      <c r="C94" s="4" t="n">
        <v>30</v>
      </c>
      <c r="D94" s="1" t="str">
        <f aca="false">A94&amp;B94&amp;C94</f>
        <v>SDWN IA25630</v>
      </c>
      <c r="E94" s="1" t="n">
        <v>0.17371</v>
      </c>
      <c r="F94" s="1" t="n">
        <v>0.06394</v>
      </c>
      <c r="G94" s="1" t="n">
        <v>0.15284</v>
      </c>
      <c r="H94" s="1" t="n">
        <v>0.06314</v>
      </c>
      <c r="I94" s="1" t="n">
        <v>0.17572</v>
      </c>
      <c r="J94" s="1" t="n">
        <v>0.06689</v>
      </c>
      <c r="K94" s="1" t="n">
        <v>0.18302</v>
      </c>
      <c r="L94" s="1" t="n">
        <v>0.09192</v>
      </c>
    </row>
    <row r="95" customFormat="false" ht="12.8" hidden="false" customHeight="false" outlineLevel="0" collapsed="false">
      <c r="A95" s="4" t="s">
        <v>15</v>
      </c>
      <c r="B95" s="4" t="n">
        <v>256</v>
      </c>
      <c r="C95" s="4" t="n">
        <v>40</v>
      </c>
      <c r="D95" s="1" t="str">
        <f aca="false">A95&amp;B95&amp;C95</f>
        <v>SDWN IA25640</v>
      </c>
      <c r="E95" s="1" t="n">
        <v>0.20233</v>
      </c>
      <c r="F95" s="1" t="n">
        <v>0.08783</v>
      </c>
      <c r="G95" s="1" t="n">
        <v>0.18739</v>
      </c>
      <c r="H95" s="1" t="n">
        <v>0.08509</v>
      </c>
      <c r="I95" s="1" t="n">
        <v>0.15362</v>
      </c>
      <c r="J95" s="1" t="n">
        <v>0.06453</v>
      </c>
      <c r="K95" s="1" t="n">
        <v>0.19791</v>
      </c>
      <c r="L95" s="1" t="n">
        <v>0.10229</v>
      </c>
    </row>
    <row r="96" customFormat="false" ht="12.8" hidden="false" customHeight="false" outlineLevel="0" collapsed="false">
      <c r="A96" s="4" t="s">
        <v>15</v>
      </c>
      <c r="B96" s="4" t="n">
        <v>256</v>
      </c>
      <c r="C96" s="4" t="n">
        <v>50</v>
      </c>
      <c r="D96" s="1" t="str">
        <f aca="false">A96&amp;B96&amp;C96</f>
        <v>SDWN IA25650</v>
      </c>
      <c r="E96" s="1" t="n">
        <v>0.35496</v>
      </c>
      <c r="F96" s="1" t="n">
        <v>0.14372</v>
      </c>
      <c r="G96" s="1" t="n">
        <v>0.19547</v>
      </c>
      <c r="H96" s="1" t="n">
        <v>0.09164</v>
      </c>
      <c r="I96" s="1" t="n">
        <v>0.19956</v>
      </c>
      <c r="J96" s="1" t="n">
        <v>0.10685</v>
      </c>
      <c r="K96" s="1" t="n">
        <v>0.89063</v>
      </c>
      <c r="L96" s="1" t="n">
        <v>0.46161</v>
      </c>
    </row>
    <row r="97" customFormat="false" ht="12.8" hidden="false" customHeight="false" outlineLevel="0" collapsed="false">
      <c r="A97" s="4" t="s">
        <v>15</v>
      </c>
      <c r="B97" s="4" t="n">
        <v>256</v>
      </c>
      <c r="C97" s="4" t="n">
        <v>60</v>
      </c>
      <c r="D97" s="1" t="str">
        <f aca="false">A97&amp;B97&amp;C97</f>
        <v>SDWN IA25660</v>
      </c>
      <c r="E97" s="1" t="n">
        <v>0.43167</v>
      </c>
      <c r="F97" s="1" t="n">
        <v>0.13645</v>
      </c>
      <c r="G97" s="1" t="n">
        <v>0.23752</v>
      </c>
      <c r="H97" s="1" t="n">
        <v>0.12444</v>
      </c>
      <c r="I97" s="1" t="n">
        <v>0.54814</v>
      </c>
      <c r="J97" s="1" t="n">
        <v>0.52493</v>
      </c>
      <c r="K97" s="1" t="n">
        <v>1.00874</v>
      </c>
      <c r="L97" s="1" t="n">
        <v>0.35623</v>
      </c>
    </row>
    <row r="98" customFormat="false" ht="12.8" hidden="false" customHeight="false" outlineLevel="0" collapsed="false">
      <c r="A98" s="4" t="s">
        <v>15</v>
      </c>
      <c r="B98" s="4" t="n">
        <v>256</v>
      </c>
      <c r="C98" s="4" t="n">
        <v>70</v>
      </c>
      <c r="D98" s="1" t="str">
        <f aca="false">A98&amp;B98&amp;C98</f>
        <v>SDWN IA25670</v>
      </c>
      <c r="E98" s="1" t="n">
        <v>0.44499</v>
      </c>
      <c r="F98" s="1" t="n">
        <v>0.12452</v>
      </c>
      <c r="G98" s="1" t="n">
        <v>0.31429</v>
      </c>
      <c r="H98" s="1" t="n">
        <v>0.14165</v>
      </c>
      <c r="I98" s="1" t="n">
        <v>0.66639</v>
      </c>
      <c r="J98" s="1" t="n">
        <v>0.34649</v>
      </c>
      <c r="K98" s="1" t="n">
        <v>0.99875</v>
      </c>
      <c r="L98" s="1" t="n">
        <v>0.34989</v>
      </c>
    </row>
    <row r="99" customFormat="false" ht="12.8" hidden="false" customHeight="false" outlineLevel="0" collapsed="false">
      <c r="A99" s="4" t="s">
        <v>15</v>
      </c>
      <c r="B99" s="4" t="n">
        <v>256</v>
      </c>
      <c r="C99" s="4" t="n">
        <v>80</v>
      </c>
      <c r="D99" s="1" t="str">
        <f aca="false">A99&amp;B99&amp;C99</f>
        <v>SDWN IA25680</v>
      </c>
      <c r="E99" s="1" t="n">
        <v>0.48721</v>
      </c>
      <c r="F99" s="1" t="n">
        <v>0.16921</v>
      </c>
      <c r="G99" s="1" t="n">
        <v>0.37737</v>
      </c>
      <c r="H99" s="1" t="n">
        <v>0.09755</v>
      </c>
      <c r="I99" s="1" t="n">
        <v>0.77154</v>
      </c>
      <c r="J99" s="1" t="n">
        <v>0.28596</v>
      </c>
      <c r="K99" s="1" t="n">
        <v>1.0441</v>
      </c>
      <c r="L99" s="1" t="n">
        <v>0.42238</v>
      </c>
    </row>
    <row r="100" customFormat="false" ht="12.8" hidden="false" customHeight="false" outlineLevel="0" collapsed="false">
      <c r="A100" s="4" t="s">
        <v>15</v>
      </c>
      <c r="B100" s="4" t="n">
        <v>256</v>
      </c>
      <c r="C100" s="4" t="n">
        <v>90</v>
      </c>
      <c r="D100" s="1" t="str">
        <f aca="false">A100&amp;B100&amp;C100</f>
        <v>SDWN IA25690</v>
      </c>
      <c r="E100" s="1" t="n">
        <v>0.57753</v>
      </c>
      <c r="F100" s="1" t="n">
        <v>0.28176</v>
      </c>
      <c r="G100" s="1" t="n">
        <v>0.52371</v>
      </c>
      <c r="H100" s="1" t="n">
        <v>0.22355</v>
      </c>
      <c r="I100" s="1" t="n">
        <v>1.02392</v>
      </c>
      <c r="J100" s="1" t="n">
        <v>0.43623</v>
      </c>
      <c r="K100" s="1" t="n">
        <v>1.15178</v>
      </c>
      <c r="L100" s="1" t="n">
        <v>0.44675</v>
      </c>
    </row>
    <row r="101" customFormat="false" ht="12.8" hidden="false" customHeight="false" outlineLevel="0" collapsed="false">
      <c r="A101" s="4" t="s">
        <v>15</v>
      </c>
      <c r="B101" s="4" t="n">
        <v>256</v>
      </c>
      <c r="C101" s="4" t="n">
        <v>100</v>
      </c>
      <c r="D101" s="1" t="str">
        <f aca="false">A101&amp;B101&amp;C101</f>
        <v>SDWN IA256100</v>
      </c>
      <c r="E101" s="1" t="n">
        <v>0.71763</v>
      </c>
      <c r="F101" s="1" t="n">
        <v>0.33664</v>
      </c>
      <c r="G101" s="1" t="n">
        <v>0.44951</v>
      </c>
      <c r="H101" s="1" t="n">
        <v>0.16453</v>
      </c>
      <c r="I101" s="1" t="n">
        <v>1.08346</v>
      </c>
      <c r="J101" s="1" t="n">
        <v>0.44249</v>
      </c>
      <c r="K101" s="1" t="n">
        <v>1.23303</v>
      </c>
      <c r="L101" s="1" t="n">
        <v>0.41332</v>
      </c>
    </row>
    <row r="102" customFormat="false" ht="12.8" hidden="false" customHeight="false" outlineLevel="0" collapsed="false">
      <c r="A102" s="4" t="s">
        <v>15</v>
      </c>
      <c r="B102" s="4" t="n">
        <v>512</v>
      </c>
      <c r="C102" s="4" t="n">
        <v>10</v>
      </c>
      <c r="D102" s="1" t="str">
        <f aca="false">A102&amp;B102&amp;C102</f>
        <v>SDWN IA51210</v>
      </c>
      <c r="E102" s="1" t="n">
        <v>0.19188</v>
      </c>
      <c r="F102" s="1" t="n">
        <v>0.04952</v>
      </c>
      <c r="G102" s="1" t="n">
        <v>0.19709</v>
      </c>
      <c r="H102" s="1" t="n">
        <v>0.05606</v>
      </c>
      <c r="I102" s="1" t="n">
        <v>0.2283</v>
      </c>
      <c r="J102" s="1" t="n">
        <v>0.11025</v>
      </c>
      <c r="K102" s="1" t="n">
        <v>0.185</v>
      </c>
      <c r="L102" s="1" t="n">
        <v>0.0764</v>
      </c>
    </row>
    <row r="103" customFormat="false" ht="12.8" hidden="false" customHeight="false" outlineLevel="0" collapsed="false">
      <c r="A103" s="4" t="s">
        <v>15</v>
      </c>
      <c r="B103" s="4" t="n">
        <v>512</v>
      </c>
      <c r="C103" s="4" t="n">
        <v>20</v>
      </c>
      <c r="D103" s="1" t="str">
        <f aca="false">A103&amp;B103&amp;C103</f>
        <v>SDWN IA51220</v>
      </c>
      <c r="E103" s="1" t="n">
        <v>0.23323</v>
      </c>
      <c r="F103" s="1" t="n">
        <v>0.24853</v>
      </c>
      <c r="G103" s="1" t="n">
        <v>0.2102</v>
      </c>
      <c r="H103" s="1" t="n">
        <v>0.06866</v>
      </c>
      <c r="I103" s="1" t="n">
        <v>0.21915</v>
      </c>
      <c r="J103" s="1" t="n">
        <v>0.07984</v>
      </c>
      <c r="K103" s="1" t="n">
        <v>0.21792</v>
      </c>
      <c r="L103" s="1" t="n">
        <v>0.09961</v>
      </c>
    </row>
    <row r="104" customFormat="false" ht="12.8" hidden="false" customHeight="false" outlineLevel="0" collapsed="false">
      <c r="A104" s="4" t="s">
        <v>15</v>
      </c>
      <c r="B104" s="4" t="n">
        <v>512</v>
      </c>
      <c r="C104" s="4" t="n">
        <v>30</v>
      </c>
      <c r="D104" s="1" t="str">
        <f aca="false">A104&amp;B104&amp;C104</f>
        <v>SDWN IA51230</v>
      </c>
      <c r="E104" s="1" t="n">
        <v>0.21786</v>
      </c>
      <c r="F104" s="1" t="n">
        <v>0.06644</v>
      </c>
      <c r="G104" s="1" t="n">
        <v>0.19804</v>
      </c>
      <c r="H104" s="1" t="n">
        <v>0.06795</v>
      </c>
      <c r="I104" s="1" t="n">
        <v>0.22902</v>
      </c>
      <c r="J104" s="1" t="n">
        <v>0.0823</v>
      </c>
      <c r="K104" s="1" t="n">
        <v>0.21975</v>
      </c>
      <c r="L104" s="1" t="n">
        <v>0.09777</v>
      </c>
    </row>
    <row r="105" customFormat="false" ht="12.8" hidden="false" customHeight="false" outlineLevel="0" collapsed="false">
      <c r="A105" s="4" t="s">
        <v>15</v>
      </c>
      <c r="B105" s="4" t="n">
        <v>512</v>
      </c>
      <c r="C105" s="4" t="n">
        <v>40</v>
      </c>
      <c r="D105" s="1" t="str">
        <f aca="false">A105&amp;B105&amp;C105</f>
        <v>SDWN IA51240</v>
      </c>
      <c r="E105" s="1" t="n">
        <v>0.24583</v>
      </c>
      <c r="F105" s="1" t="n">
        <v>0.0884</v>
      </c>
      <c r="G105" s="1" t="n">
        <v>0.23446</v>
      </c>
      <c r="H105" s="1" t="n">
        <v>0.09339</v>
      </c>
      <c r="I105" s="1" t="n">
        <v>0.22899</v>
      </c>
      <c r="J105" s="1" t="n">
        <v>0.10109</v>
      </c>
      <c r="K105" s="1" t="n">
        <v>0.26186</v>
      </c>
      <c r="L105" s="1" t="n">
        <v>0.21562</v>
      </c>
    </row>
    <row r="106" customFormat="false" ht="12.8" hidden="false" customHeight="false" outlineLevel="0" collapsed="false">
      <c r="A106" s="4" t="s">
        <v>15</v>
      </c>
      <c r="B106" s="4" t="n">
        <v>512</v>
      </c>
      <c r="C106" s="4" t="n">
        <v>50</v>
      </c>
      <c r="D106" s="1" t="str">
        <f aca="false">A106&amp;B106&amp;C106</f>
        <v>SDWN IA51250</v>
      </c>
      <c r="E106" s="1" t="n">
        <v>0.53793</v>
      </c>
      <c r="F106" s="1" t="n">
        <v>0.27001</v>
      </c>
      <c r="G106" s="1" t="n">
        <v>0.22329</v>
      </c>
      <c r="H106" s="1" t="n">
        <v>0.08539</v>
      </c>
      <c r="I106" s="1" t="n">
        <v>0.19492</v>
      </c>
      <c r="J106" s="1" t="n">
        <v>0.06781</v>
      </c>
      <c r="K106" s="1" t="n">
        <v>1.02651</v>
      </c>
      <c r="L106" s="1" t="n">
        <v>0.51637</v>
      </c>
    </row>
    <row r="107" customFormat="false" ht="12.8" hidden="false" customHeight="false" outlineLevel="0" collapsed="false">
      <c r="A107" s="4" t="s">
        <v>15</v>
      </c>
      <c r="B107" s="4" t="n">
        <v>512</v>
      </c>
      <c r="C107" s="4" t="n">
        <v>60</v>
      </c>
      <c r="D107" s="1" t="str">
        <f aca="false">A107&amp;B107&amp;C107</f>
        <v>SDWN IA51260</v>
      </c>
      <c r="E107" s="1" t="n">
        <v>0.53427</v>
      </c>
      <c r="F107" s="1" t="n">
        <v>0.16668</v>
      </c>
      <c r="G107" s="1" t="n">
        <v>0.29314</v>
      </c>
      <c r="H107" s="1" t="n">
        <v>0.13711</v>
      </c>
      <c r="I107" s="1" t="n">
        <v>0.79814</v>
      </c>
      <c r="J107" s="1" t="n">
        <v>0.74887</v>
      </c>
      <c r="K107" s="1" t="n">
        <v>1.15868</v>
      </c>
      <c r="L107" s="1" t="n">
        <v>0.40392</v>
      </c>
    </row>
    <row r="108" customFormat="false" ht="12.8" hidden="false" customHeight="false" outlineLevel="0" collapsed="false">
      <c r="A108" s="4" t="s">
        <v>15</v>
      </c>
      <c r="B108" s="4" t="n">
        <v>512</v>
      </c>
      <c r="C108" s="4" t="n">
        <v>70</v>
      </c>
      <c r="D108" s="1" t="str">
        <f aca="false">A108&amp;B108&amp;C108</f>
        <v>SDWN IA51270</v>
      </c>
      <c r="E108" s="1" t="n">
        <v>0.55333</v>
      </c>
      <c r="F108" s="1" t="n">
        <v>0.16357</v>
      </c>
      <c r="G108" s="1" t="n">
        <v>0.4619</v>
      </c>
      <c r="H108" s="1" t="n">
        <v>0.20264</v>
      </c>
      <c r="I108" s="1" t="n">
        <v>0.86635</v>
      </c>
      <c r="J108" s="1" t="n">
        <v>0.46942</v>
      </c>
      <c r="K108" s="1" t="n">
        <v>1.16733</v>
      </c>
      <c r="L108" s="1" t="n">
        <v>0.4272</v>
      </c>
    </row>
    <row r="109" customFormat="false" ht="12.8" hidden="false" customHeight="false" outlineLevel="0" collapsed="false">
      <c r="A109" s="4" t="s">
        <v>15</v>
      </c>
      <c r="B109" s="4" t="n">
        <v>512</v>
      </c>
      <c r="C109" s="4" t="n">
        <v>80</v>
      </c>
      <c r="D109" s="1" t="str">
        <f aca="false">A109&amp;B109&amp;C109</f>
        <v>SDWN IA51280</v>
      </c>
      <c r="E109" s="1" t="n">
        <v>0.56735</v>
      </c>
      <c r="F109" s="1" t="n">
        <v>0.21176</v>
      </c>
      <c r="G109" s="1" t="n">
        <v>0.57336</v>
      </c>
      <c r="H109" s="1" t="n">
        <v>0.16311</v>
      </c>
      <c r="I109" s="1" t="n">
        <v>1.13661</v>
      </c>
      <c r="J109" s="1" t="n">
        <v>0.45795</v>
      </c>
      <c r="K109" s="1" t="n">
        <v>1.23225</v>
      </c>
      <c r="L109" s="1" t="n">
        <v>0.52656</v>
      </c>
    </row>
    <row r="110" customFormat="false" ht="12.8" hidden="false" customHeight="false" outlineLevel="0" collapsed="false">
      <c r="A110" s="4" t="s">
        <v>15</v>
      </c>
      <c r="B110" s="4" t="n">
        <v>512</v>
      </c>
      <c r="C110" s="4" t="n">
        <v>90</v>
      </c>
      <c r="D110" s="1" t="str">
        <f aca="false">A110&amp;B110&amp;C110</f>
        <v>SDWN IA51290</v>
      </c>
      <c r="E110" s="1" t="n">
        <v>0.72384</v>
      </c>
      <c r="F110" s="1" t="n">
        <v>0.36435</v>
      </c>
      <c r="G110" s="1" t="n">
        <v>0.62335</v>
      </c>
      <c r="H110" s="1" t="n">
        <v>0.26571</v>
      </c>
      <c r="I110" s="1" t="n">
        <v>1.21754</v>
      </c>
      <c r="J110" s="1" t="n">
        <v>0.53454</v>
      </c>
      <c r="K110" s="1" t="n">
        <v>1.34038</v>
      </c>
      <c r="L110" s="1" t="n">
        <v>0.54788</v>
      </c>
    </row>
    <row r="111" customFormat="false" ht="12.8" hidden="false" customHeight="false" outlineLevel="0" collapsed="false">
      <c r="A111" s="4" t="s">
        <v>15</v>
      </c>
      <c r="B111" s="4" t="n">
        <v>512</v>
      </c>
      <c r="C111" s="4" t="n">
        <v>100</v>
      </c>
      <c r="D111" s="1" t="str">
        <f aca="false">A111&amp;B111&amp;C111</f>
        <v>SDWN IA512100</v>
      </c>
      <c r="E111" s="1" t="n">
        <v>0.83948</v>
      </c>
      <c r="F111" s="1" t="n">
        <v>0.40359</v>
      </c>
      <c r="G111" s="1" t="n">
        <v>0.6779</v>
      </c>
      <c r="H111" s="1" t="n">
        <v>0.2872</v>
      </c>
      <c r="I111" s="1" t="n">
        <v>1.31274</v>
      </c>
      <c r="J111" s="1" t="n">
        <v>0.56904</v>
      </c>
      <c r="K111" s="1" t="n">
        <v>1.46427</v>
      </c>
      <c r="L111" s="1" t="n">
        <v>0.53171</v>
      </c>
    </row>
    <row r="112" customFormat="false" ht="12.8" hidden="false" customHeight="false" outlineLevel="0" collapsed="false">
      <c r="A112" s="4" t="s">
        <v>15</v>
      </c>
      <c r="B112" s="4" t="n">
        <v>1024</v>
      </c>
      <c r="C112" s="4" t="n">
        <v>10</v>
      </c>
      <c r="D112" s="1" t="str">
        <f aca="false">A112&amp;B112&amp;C112</f>
        <v>SDWN IA102410</v>
      </c>
      <c r="E112" s="1" t="n">
        <v>0.29474</v>
      </c>
      <c r="F112" s="1" t="n">
        <v>0.07401</v>
      </c>
      <c r="G112" s="1" t="n">
        <v>0.29941</v>
      </c>
      <c r="H112" s="1" t="n">
        <v>0.0795</v>
      </c>
      <c r="I112" s="1" t="n">
        <v>0.2958</v>
      </c>
      <c r="J112" s="1" t="n">
        <v>0.10148</v>
      </c>
      <c r="K112" s="1" t="n">
        <v>0.2715</v>
      </c>
      <c r="L112" s="1" t="n">
        <v>0.10394</v>
      </c>
    </row>
    <row r="113" customFormat="false" ht="12.8" hidden="false" customHeight="false" outlineLevel="0" collapsed="false">
      <c r="A113" s="4" t="s">
        <v>15</v>
      </c>
      <c r="B113" s="4" t="n">
        <v>1024</v>
      </c>
      <c r="C113" s="4" t="n">
        <v>20</v>
      </c>
      <c r="D113" s="1" t="str">
        <f aca="false">A113&amp;B113&amp;C113</f>
        <v>SDWN IA102420</v>
      </c>
      <c r="E113" s="1" t="n">
        <v>0.30141</v>
      </c>
      <c r="F113" s="1" t="n">
        <v>0.08029</v>
      </c>
      <c r="G113" s="1" t="n">
        <v>0.31943</v>
      </c>
      <c r="H113" s="1" t="n">
        <v>0.09518</v>
      </c>
      <c r="I113" s="1" t="n">
        <v>0.62203</v>
      </c>
      <c r="J113" s="1" t="n">
        <v>0.34525</v>
      </c>
      <c r="K113" s="1" t="n">
        <v>0.3152</v>
      </c>
      <c r="L113" s="1" t="n">
        <v>0.12276</v>
      </c>
    </row>
    <row r="114" customFormat="false" ht="12.8" hidden="false" customHeight="false" outlineLevel="0" collapsed="false">
      <c r="A114" s="4" t="s">
        <v>15</v>
      </c>
      <c r="B114" s="4" t="n">
        <v>1024</v>
      </c>
      <c r="C114" s="4" t="n">
        <v>30</v>
      </c>
      <c r="D114" s="1" t="str">
        <f aca="false">A114&amp;B114&amp;C114</f>
        <v>SDWN IA102430</v>
      </c>
      <c r="E114" s="1" t="n">
        <v>0.32038</v>
      </c>
      <c r="F114" s="1" t="n">
        <v>0.09207</v>
      </c>
      <c r="G114" s="1" t="n">
        <v>0.2998</v>
      </c>
      <c r="H114" s="1" t="n">
        <v>0.09475</v>
      </c>
      <c r="I114" s="1" t="n">
        <v>0.33137</v>
      </c>
      <c r="J114" s="1" t="n">
        <v>0.11156</v>
      </c>
      <c r="K114" s="1" t="n">
        <v>0.32125</v>
      </c>
      <c r="L114" s="1" t="n">
        <v>0.12433</v>
      </c>
    </row>
    <row r="115" customFormat="false" ht="12.8" hidden="false" customHeight="false" outlineLevel="0" collapsed="false">
      <c r="A115" s="4" t="s">
        <v>15</v>
      </c>
      <c r="B115" s="4" t="n">
        <v>1024</v>
      </c>
      <c r="C115" s="4" t="n">
        <v>40</v>
      </c>
      <c r="D115" s="1" t="str">
        <f aca="false">A115&amp;B115&amp;C115</f>
        <v>SDWN IA102440</v>
      </c>
      <c r="E115" s="1" t="n">
        <v>0.35992</v>
      </c>
      <c r="F115" s="1" t="n">
        <v>0.10745</v>
      </c>
      <c r="G115" s="1" t="n">
        <v>0.3167</v>
      </c>
      <c r="H115" s="1" t="n">
        <v>0.09812</v>
      </c>
      <c r="I115" s="1" t="n">
        <v>0.2926</v>
      </c>
      <c r="J115" s="1" t="n">
        <v>0.09553</v>
      </c>
      <c r="K115" s="1" t="n">
        <v>0.33984</v>
      </c>
      <c r="L115" s="1" t="n">
        <v>0.1305</v>
      </c>
    </row>
    <row r="116" customFormat="false" ht="12.8" hidden="false" customHeight="false" outlineLevel="0" collapsed="false">
      <c r="A116" s="4" t="s">
        <v>15</v>
      </c>
      <c r="B116" s="4" t="n">
        <v>1024</v>
      </c>
      <c r="C116" s="4" t="n">
        <v>50</v>
      </c>
      <c r="D116" s="1" t="str">
        <f aca="false">A116&amp;B116&amp;C116</f>
        <v>SDWN IA102450</v>
      </c>
      <c r="E116" s="1" t="n">
        <v>0.65085</v>
      </c>
      <c r="F116" s="1" t="n">
        <v>0.26427</v>
      </c>
      <c r="G116" s="1" t="n">
        <v>0.3475</v>
      </c>
      <c r="H116" s="1" t="n">
        <v>0.12617</v>
      </c>
      <c r="I116" s="1" t="n">
        <v>0.31275</v>
      </c>
      <c r="J116" s="1" t="n">
        <v>0.11648</v>
      </c>
      <c r="K116" s="1" t="n">
        <v>1.3932</v>
      </c>
      <c r="L116" s="1" t="n">
        <v>0.70422</v>
      </c>
    </row>
    <row r="117" customFormat="false" ht="12.8" hidden="false" customHeight="false" outlineLevel="0" collapsed="false">
      <c r="A117" s="4" t="s">
        <v>15</v>
      </c>
      <c r="B117" s="4" t="n">
        <v>1024</v>
      </c>
      <c r="C117" s="4" t="n">
        <v>60</v>
      </c>
      <c r="D117" s="1" t="str">
        <f aca="false">A117&amp;B117&amp;C117</f>
        <v>SDWN IA102460</v>
      </c>
      <c r="E117" s="1" t="n">
        <v>0.81867</v>
      </c>
      <c r="F117" s="1" t="n">
        <v>0.32013</v>
      </c>
      <c r="G117" s="1" t="n">
        <v>0.44106</v>
      </c>
      <c r="H117" s="1" t="n">
        <v>0.22771</v>
      </c>
      <c r="I117" s="1" t="n">
        <v>0.68916</v>
      </c>
      <c r="J117" s="1" t="n">
        <v>0.6087</v>
      </c>
      <c r="K117" s="1" t="n">
        <v>1.53083</v>
      </c>
      <c r="L117" s="1" t="n">
        <v>0.61263</v>
      </c>
    </row>
    <row r="118" customFormat="false" ht="12.8" hidden="false" customHeight="false" outlineLevel="0" collapsed="false">
      <c r="A118" s="4" t="s">
        <v>15</v>
      </c>
      <c r="B118" s="4" t="n">
        <v>1024</v>
      </c>
      <c r="C118" s="4" t="n">
        <v>70</v>
      </c>
      <c r="D118" s="1" t="str">
        <f aca="false">A118&amp;B118&amp;C118</f>
        <v>SDWN IA102470</v>
      </c>
      <c r="E118" s="1" t="n">
        <v>0.76099</v>
      </c>
      <c r="F118" s="1" t="n">
        <v>0.1826</v>
      </c>
      <c r="G118" s="1" t="n">
        <v>0.58576</v>
      </c>
      <c r="H118" s="1" t="n">
        <v>0.26443</v>
      </c>
      <c r="I118" s="1" t="n">
        <v>0.75039</v>
      </c>
      <c r="J118" s="1" t="n">
        <v>0.69365</v>
      </c>
      <c r="K118" s="1" t="n">
        <v>1.51522</v>
      </c>
      <c r="L118" s="1" t="n">
        <v>0.56215</v>
      </c>
    </row>
    <row r="119" customFormat="false" ht="12.8" hidden="false" customHeight="false" outlineLevel="0" collapsed="false">
      <c r="A119" s="4" t="s">
        <v>15</v>
      </c>
      <c r="B119" s="4" t="n">
        <v>1024</v>
      </c>
      <c r="C119" s="4" t="n">
        <v>80</v>
      </c>
      <c r="D119" s="1" t="str">
        <f aca="false">A119&amp;B119&amp;C119</f>
        <v>SDWN IA102480</v>
      </c>
      <c r="E119" s="1" t="n">
        <v>0.76727</v>
      </c>
      <c r="F119" s="1" t="n">
        <v>0.25959</v>
      </c>
      <c r="G119" s="1" t="n">
        <v>0.69593</v>
      </c>
      <c r="H119" s="1" t="n">
        <v>0.20296</v>
      </c>
      <c r="I119" s="1" t="n">
        <v>1.22585</v>
      </c>
      <c r="J119" s="1" t="n">
        <v>0.69909</v>
      </c>
      <c r="K119" s="1" t="n">
        <v>1.56281</v>
      </c>
      <c r="L119" s="1" t="n">
        <v>0.5999</v>
      </c>
    </row>
    <row r="120" customFormat="false" ht="12.8" hidden="false" customHeight="false" outlineLevel="0" collapsed="false">
      <c r="A120" s="4" t="s">
        <v>15</v>
      </c>
      <c r="B120" s="4" t="n">
        <v>1024</v>
      </c>
      <c r="C120" s="4" t="n">
        <v>90</v>
      </c>
      <c r="D120" s="1" t="str">
        <f aca="false">A120&amp;B120&amp;C120</f>
        <v>SDWN IA102490</v>
      </c>
      <c r="E120" s="1" t="n">
        <v>1.30817</v>
      </c>
      <c r="F120" s="1" t="n">
        <v>0.58163</v>
      </c>
      <c r="G120" s="1" t="n">
        <v>0.76965</v>
      </c>
      <c r="H120" s="1" t="n">
        <v>0.31576</v>
      </c>
      <c r="I120" s="1" t="n">
        <v>1.5436</v>
      </c>
      <c r="J120" s="1" t="n">
        <v>0.729</v>
      </c>
      <c r="K120" s="1" t="n">
        <v>1.68123</v>
      </c>
      <c r="L120" s="1" t="n">
        <v>0.75179</v>
      </c>
    </row>
    <row r="121" customFormat="false" ht="12.8" hidden="false" customHeight="false" outlineLevel="0" collapsed="false">
      <c r="A121" s="4" t="s">
        <v>15</v>
      </c>
      <c r="B121" s="4" t="n">
        <v>1024</v>
      </c>
      <c r="C121" s="4" t="n">
        <v>100</v>
      </c>
      <c r="D121" s="1" t="str">
        <f aca="false">A121&amp;B121&amp;C121</f>
        <v>SDWN IA1024100</v>
      </c>
      <c r="E121" s="1" t="n">
        <v>1.72074</v>
      </c>
      <c r="F121" s="1" t="n">
        <v>0.67238</v>
      </c>
      <c r="G121" s="1" t="n">
        <v>0.80067</v>
      </c>
      <c r="H121" s="1" t="n">
        <v>0.32378</v>
      </c>
      <c r="I121" s="1" t="n">
        <v>1.62355</v>
      </c>
      <c r="J121" s="1" t="n">
        <v>0.7415</v>
      </c>
      <c r="K121" s="1" t="n">
        <v>1.7129</v>
      </c>
      <c r="L121" s="1" t="n">
        <v>0.68465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1"/>
  <sheetViews>
    <sheetView showFormulas="false" showGridLines="true" showRowColHeaders="true" showZeros="true" rightToLeft="false" tabSelected="false" showOutlineSymbols="true" defaultGridColor="true" view="normal" topLeftCell="A81" colorId="64" zoomScale="110" zoomScaleNormal="110" zoomScalePageLayoutView="100" workbookViewId="0">
      <selection pane="topLeft" activeCell="E62" activeCellId="0" sqref="E6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.66"/>
    <col collapsed="false" customWidth="true" hidden="false" outlineLevel="0" max="4" min="4" style="1" width="20.31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customFormat="false" ht="12.8" hidden="false" customHeight="false" outlineLevel="0" collapsed="false">
      <c r="A2" s="4" t="s">
        <v>12</v>
      </c>
      <c r="B2" s="4" t="n">
        <v>256</v>
      </c>
      <c r="C2" s="4" t="n">
        <v>10</v>
      </c>
      <c r="D2" s="1" t="str">
        <f aca="false">A2&amp;B2&amp;C2</f>
        <v>NO SDWN25610</v>
      </c>
      <c r="E2" s="1" t="n">
        <v>2.27933</v>
      </c>
      <c r="F2" s="1" t="n">
        <v>0.00254</v>
      </c>
      <c r="G2" s="1" t="n">
        <v>2.27967</v>
      </c>
      <c r="H2" s="1" t="n">
        <v>0.00183</v>
      </c>
      <c r="I2" s="1" t="n">
        <v>2.2785</v>
      </c>
      <c r="J2" s="1" t="n">
        <v>0.00366</v>
      </c>
      <c r="K2" s="1" t="n">
        <v>2.2785</v>
      </c>
      <c r="L2" s="1" t="n">
        <v>0.00366</v>
      </c>
    </row>
    <row r="3" customFormat="false" ht="12.8" hidden="false" customHeight="false" outlineLevel="0" collapsed="false">
      <c r="A3" s="4" t="s">
        <v>12</v>
      </c>
      <c r="B3" s="4" t="n">
        <v>256</v>
      </c>
      <c r="C3" s="4" t="n">
        <v>20</v>
      </c>
      <c r="D3" s="1" t="str">
        <f aca="false">A3&amp;B3&amp;C3</f>
        <v>NO SDWN25620</v>
      </c>
      <c r="E3" s="1" t="n">
        <v>2.278</v>
      </c>
      <c r="F3" s="1" t="n">
        <v>0.00404</v>
      </c>
      <c r="G3" s="1" t="n">
        <v>2.2786</v>
      </c>
      <c r="H3" s="1" t="n">
        <v>0.00351</v>
      </c>
      <c r="I3" s="1" t="n">
        <v>2.2794</v>
      </c>
      <c r="J3" s="1" t="n">
        <v>0.0024</v>
      </c>
      <c r="K3" s="1" t="n">
        <v>2.2796</v>
      </c>
      <c r="L3" s="1" t="n">
        <v>0.00198</v>
      </c>
    </row>
    <row r="4" customFormat="false" ht="12.8" hidden="false" customHeight="false" outlineLevel="0" collapsed="false">
      <c r="A4" s="4" t="s">
        <v>12</v>
      </c>
      <c r="B4" s="4" t="n">
        <v>256</v>
      </c>
      <c r="C4" s="4" t="n">
        <v>30</v>
      </c>
      <c r="D4" s="1" t="str">
        <f aca="false">A4&amp;B4&amp;C4</f>
        <v>NO SDWN25630</v>
      </c>
      <c r="E4" s="1" t="n">
        <v>2.27588</v>
      </c>
      <c r="F4" s="1" t="n">
        <v>0.00495</v>
      </c>
      <c r="G4" s="1" t="n">
        <v>2.2785</v>
      </c>
      <c r="H4" s="1" t="n">
        <v>0.00359</v>
      </c>
      <c r="I4" s="1" t="n">
        <v>2.27929</v>
      </c>
      <c r="J4" s="1" t="n">
        <v>0.00259</v>
      </c>
      <c r="K4" s="1" t="n">
        <v>2.27914</v>
      </c>
      <c r="L4" s="1" t="n">
        <v>0.00282</v>
      </c>
    </row>
    <row r="5" customFormat="false" ht="12.8" hidden="false" customHeight="false" outlineLevel="0" collapsed="false">
      <c r="A5" s="4" t="s">
        <v>12</v>
      </c>
      <c r="B5" s="4" t="n">
        <v>256</v>
      </c>
      <c r="C5" s="4" t="n">
        <v>40</v>
      </c>
      <c r="D5" s="1" t="str">
        <f aca="false">A5&amp;B5&amp;C5</f>
        <v>NO SDWN25640</v>
      </c>
      <c r="E5" s="1" t="n">
        <v>2.275</v>
      </c>
      <c r="F5" s="1" t="n">
        <v>0.00503</v>
      </c>
      <c r="G5" s="1" t="n">
        <v>2.2774</v>
      </c>
      <c r="H5" s="1" t="n">
        <v>0.00441</v>
      </c>
      <c r="I5" s="1" t="n">
        <v>2.278</v>
      </c>
      <c r="J5" s="1" t="n">
        <v>0.00402</v>
      </c>
      <c r="K5" s="1" t="n">
        <v>2.2791</v>
      </c>
      <c r="L5" s="1" t="n">
        <v>0.00288</v>
      </c>
    </row>
    <row r="6" customFormat="false" ht="12.8" hidden="false" customHeight="false" outlineLevel="0" collapsed="false">
      <c r="A6" s="4" t="s">
        <v>12</v>
      </c>
      <c r="B6" s="4" t="n">
        <v>256</v>
      </c>
      <c r="C6" s="4" t="n">
        <v>50</v>
      </c>
      <c r="D6" s="1" t="str">
        <f aca="false">A6&amp;B6&amp;C6</f>
        <v>NO SDWN25650</v>
      </c>
      <c r="E6" s="1" t="n">
        <v>2.2745</v>
      </c>
      <c r="F6" s="1" t="n">
        <v>0.00515</v>
      </c>
      <c r="G6" s="1" t="n">
        <v>2.27727</v>
      </c>
      <c r="H6" s="1" t="n">
        <v>0.00481</v>
      </c>
      <c r="I6" s="1" t="n">
        <v>2.27758</v>
      </c>
      <c r="J6" s="1" t="n">
        <v>0.0043</v>
      </c>
      <c r="K6" s="1" t="n">
        <v>2.2785</v>
      </c>
      <c r="L6" s="1" t="n">
        <v>0.00359</v>
      </c>
    </row>
    <row r="7" customFormat="false" ht="12.8" hidden="false" customHeight="false" outlineLevel="0" collapsed="false">
      <c r="A7" s="4" t="s">
        <v>12</v>
      </c>
      <c r="B7" s="4" t="n">
        <v>256</v>
      </c>
      <c r="C7" s="4" t="n">
        <v>60</v>
      </c>
      <c r="D7" s="1" t="str">
        <f aca="false">A7&amp;B7&amp;C7</f>
        <v>NO SDWN25660</v>
      </c>
      <c r="E7" s="1" t="n">
        <v>2.27416</v>
      </c>
      <c r="F7" s="1" t="n">
        <v>0.00534</v>
      </c>
      <c r="G7" s="1" t="n">
        <v>2.27604</v>
      </c>
      <c r="H7" s="1" t="n">
        <v>0.00504</v>
      </c>
      <c r="I7" s="1" t="n">
        <v>2.27813</v>
      </c>
      <c r="J7" s="1" t="n">
        <v>0.00391</v>
      </c>
      <c r="K7" s="1" t="n">
        <v>2.27799</v>
      </c>
      <c r="L7" s="1" t="n">
        <v>0.00402</v>
      </c>
    </row>
    <row r="8" customFormat="false" ht="12.8" hidden="false" customHeight="false" outlineLevel="0" collapsed="false">
      <c r="A8" s="4" t="s">
        <v>12</v>
      </c>
      <c r="B8" s="4" t="n">
        <v>256</v>
      </c>
      <c r="C8" s="4" t="n">
        <v>70</v>
      </c>
      <c r="D8" s="1" t="str">
        <f aca="false">A8&amp;B8&amp;C8</f>
        <v>NO SDWN25670</v>
      </c>
      <c r="E8" s="1" t="n">
        <v>2.27376</v>
      </c>
      <c r="F8" s="1" t="n">
        <v>0.00591</v>
      </c>
      <c r="G8" s="1" t="n">
        <v>2.27561</v>
      </c>
      <c r="H8" s="1" t="n">
        <v>0.0053</v>
      </c>
      <c r="I8" s="1" t="n">
        <v>2.27714</v>
      </c>
      <c r="J8" s="1" t="n">
        <v>0.00466</v>
      </c>
      <c r="K8" s="1" t="n">
        <v>2.2778</v>
      </c>
      <c r="L8" s="1" t="n">
        <v>0.00444</v>
      </c>
    </row>
    <row r="9" customFormat="false" ht="12.8" hidden="false" customHeight="false" outlineLevel="0" collapsed="false">
      <c r="A9" s="4" t="s">
        <v>12</v>
      </c>
      <c r="B9" s="4" t="n">
        <v>256</v>
      </c>
      <c r="C9" s="4" t="n">
        <v>80</v>
      </c>
      <c r="D9" s="1" t="str">
        <f aca="false">A9&amp;B9&amp;C9</f>
        <v>NO SDWN25680</v>
      </c>
      <c r="E9" s="1" t="n">
        <v>2.27136</v>
      </c>
      <c r="F9" s="1" t="n">
        <v>0.00666</v>
      </c>
      <c r="G9" s="1" t="n">
        <v>2.27595</v>
      </c>
      <c r="H9" s="1" t="n">
        <v>0.00502</v>
      </c>
      <c r="I9" s="1" t="n">
        <v>2.2767</v>
      </c>
      <c r="J9" s="1" t="n">
        <v>0.00493</v>
      </c>
      <c r="K9" s="1" t="n">
        <v>2.27785</v>
      </c>
      <c r="L9" s="1" t="n">
        <v>0.00412</v>
      </c>
    </row>
    <row r="10" customFormat="false" ht="12.8" hidden="false" customHeight="false" outlineLevel="0" collapsed="false">
      <c r="A10" s="4" t="s">
        <v>12</v>
      </c>
      <c r="B10" s="4" t="n">
        <v>256</v>
      </c>
      <c r="C10" s="4" t="n">
        <v>90</v>
      </c>
      <c r="D10" s="1" t="str">
        <f aca="false">A10&amp;B10&amp;C10</f>
        <v>NO SDWN25690</v>
      </c>
      <c r="E10" s="1" t="n">
        <v>2.27202</v>
      </c>
      <c r="F10" s="1" t="n">
        <v>0.00692</v>
      </c>
      <c r="G10" s="1" t="n">
        <v>2.27463</v>
      </c>
      <c r="H10" s="1" t="n">
        <v>0.00597</v>
      </c>
      <c r="I10" s="1" t="n">
        <v>2.2768</v>
      </c>
      <c r="J10" s="1" t="n">
        <v>0.00477</v>
      </c>
      <c r="K10" s="1" t="n">
        <v>2.27809</v>
      </c>
      <c r="L10" s="1" t="n">
        <v>0.00394</v>
      </c>
    </row>
    <row r="11" customFormat="false" ht="12.8" hidden="false" customHeight="false" outlineLevel="0" collapsed="false">
      <c r="A11" s="4" t="s">
        <v>12</v>
      </c>
      <c r="B11" s="4" t="n">
        <v>256</v>
      </c>
      <c r="C11" s="4" t="n">
        <v>100</v>
      </c>
      <c r="D11" s="1" t="str">
        <f aca="false">A11&amp;B11&amp;C11</f>
        <v>NO SDWN256100</v>
      </c>
      <c r="E11" s="1" t="n">
        <v>2.27093</v>
      </c>
      <c r="F11" s="1" t="n">
        <v>0.00804</v>
      </c>
      <c r="G11" s="1" t="n">
        <v>2.27403</v>
      </c>
      <c r="H11" s="1" t="n">
        <v>0.00629</v>
      </c>
      <c r="I11" s="1" t="n">
        <v>2.27603</v>
      </c>
      <c r="J11" s="1" t="n">
        <v>0.00574</v>
      </c>
      <c r="K11" s="1" t="n">
        <v>2.27785</v>
      </c>
      <c r="L11" s="1" t="n">
        <v>0.00411</v>
      </c>
    </row>
    <row r="12" customFormat="false" ht="12.8" hidden="false" customHeight="false" outlineLevel="0" collapsed="false">
      <c r="A12" s="4" t="s">
        <v>12</v>
      </c>
      <c r="B12" s="4" t="n">
        <v>512</v>
      </c>
      <c r="C12" s="4" t="n">
        <v>10</v>
      </c>
      <c r="D12" s="1" t="str">
        <f aca="false">A12&amp;B12&amp;C12</f>
        <v>NO SDWN51210</v>
      </c>
      <c r="E12" s="1" t="n">
        <v>4.32933</v>
      </c>
      <c r="F12" s="1" t="n">
        <v>0.00254</v>
      </c>
      <c r="G12" s="1" t="n">
        <v>4.32967</v>
      </c>
      <c r="H12" s="1" t="n">
        <v>0.00183</v>
      </c>
      <c r="I12" s="1" t="n">
        <v>4.3285</v>
      </c>
      <c r="J12" s="1" t="n">
        <v>0.00366</v>
      </c>
      <c r="K12" s="1" t="n">
        <v>4.3285</v>
      </c>
      <c r="L12" s="1" t="n">
        <v>0.00366</v>
      </c>
    </row>
    <row r="13" customFormat="false" ht="12.8" hidden="false" customHeight="false" outlineLevel="0" collapsed="false">
      <c r="A13" s="4" t="s">
        <v>12</v>
      </c>
      <c r="B13" s="4" t="n">
        <v>512</v>
      </c>
      <c r="C13" s="4" t="n">
        <v>20</v>
      </c>
      <c r="D13" s="1" t="str">
        <f aca="false">A13&amp;B13&amp;C13</f>
        <v>NO SDWN51220</v>
      </c>
      <c r="E13" s="1" t="n">
        <v>4.328</v>
      </c>
      <c r="F13" s="1" t="n">
        <v>0.00404</v>
      </c>
      <c r="G13" s="1" t="n">
        <v>4.3286</v>
      </c>
      <c r="H13" s="1" t="n">
        <v>0.00351</v>
      </c>
      <c r="I13" s="1" t="n">
        <v>4.3294</v>
      </c>
      <c r="J13" s="1" t="n">
        <v>0.0024</v>
      </c>
      <c r="K13" s="1" t="n">
        <v>4.3296</v>
      </c>
      <c r="L13" s="1" t="n">
        <v>0.00198</v>
      </c>
    </row>
    <row r="14" customFormat="false" ht="12.8" hidden="false" customHeight="false" outlineLevel="0" collapsed="false">
      <c r="A14" s="4" t="s">
        <v>12</v>
      </c>
      <c r="B14" s="4" t="n">
        <v>512</v>
      </c>
      <c r="C14" s="4" t="n">
        <v>30</v>
      </c>
      <c r="D14" s="1" t="str">
        <f aca="false">A14&amp;B14&amp;C14</f>
        <v>NO SDWN51230</v>
      </c>
      <c r="E14" s="1" t="n">
        <v>4.32575</v>
      </c>
      <c r="F14" s="1" t="n">
        <v>0.00522</v>
      </c>
      <c r="G14" s="1" t="n">
        <v>4.3285</v>
      </c>
      <c r="H14" s="1" t="n">
        <v>0.00359</v>
      </c>
      <c r="I14" s="1" t="n">
        <v>4.32929</v>
      </c>
      <c r="J14" s="1" t="n">
        <v>0.00259</v>
      </c>
      <c r="K14" s="1" t="n">
        <v>4.32929</v>
      </c>
      <c r="L14" s="1" t="n">
        <v>0.00259</v>
      </c>
    </row>
    <row r="15" customFormat="false" ht="12.8" hidden="false" customHeight="false" outlineLevel="0" collapsed="false">
      <c r="A15" s="4" t="s">
        <v>12</v>
      </c>
      <c r="B15" s="4" t="n">
        <v>512</v>
      </c>
      <c r="C15" s="4" t="n">
        <v>40</v>
      </c>
      <c r="D15" s="1" t="str">
        <f aca="false">A15&amp;B15&amp;C15</f>
        <v>NO SDWN51240</v>
      </c>
      <c r="E15" s="1" t="n">
        <v>4.3241</v>
      </c>
      <c r="F15" s="1" t="n">
        <v>0.00668</v>
      </c>
      <c r="G15" s="1" t="n">
        <v>4.3271</v>
      </c>
      <c r="H15" s="1" t="n">
        <v>0.00574</v>
      </c>
      <c r="I15" s="1" t="n">
        <v>4.32768</v>
      </c>
      <c r="J15" s="1" t="n">
        <v>0.00448</v>
      </c>
      <c r="K15" s="1" t="n">
        <v>4.3286</v>
      </c>
      <c r="L15" s="1" t="n">
        <v>0.00377</v>
      </c>
    </row>
    <row r="16" customFormat="false" ht="12.8" hidden="false" customHeight="false" outlineLevel="0" collapsed="false">
      <c r="A16" s="4" t="s">
        <v>12</v>
      </c>
      <c r="B16" s="4" t="n">
        <v>512</v>
      </c>
      <c r="C16" s="4" t="n">
        <v>50</v>
      </c>
      <c r="D16" s="1" t="str">
        <f aca="false">A16&amp;B16&amp;C16</f>
        <v>NO SDWN51250</v>
      </c>
      <c r="E16" s="1" t="n">
        <v>4.32364</v>
      </c>
      <c r="F16" s="1" t="n">
        <v>0.00661</v>
      </c>
      <c r="G16" s="1" t="n">
        <v>4.32662</v>
      </c>
      <c r="H16" s="1" t="n">
        <v>0.00591</v>
      </c>
      <c r="I16" s="1" t="n">
        <v>4.32717</v>
      </c>
      <c r="J16" s="1" t="n">
        <v>0.00522</v>
      </c>
      <c r="K16" s="1" t="n">
        <v>4.32833</v>
      </c>
      <c r="L16" s="1" t="n">
        <v>0.00374</v>
      </c>
    </row>
    <row r="17" customFormat="false" ht="12.8" hidden="false" customHeight="false" outlineLevel="0" collapsed="false">
      <c r="A17" s="4" t="s">
        <v>12</v>
      </c>
      <c r="B17" s="4" t="n">
        <v>512</v>
      </c>
      <c r="C17" s="4" t="n">
        <v>60</v>
      </c>
      <c r="D17" s="1" t="str">
        <f aca="false">A17&amp;B17&amp;C17</f>
        <v>NO SDWN51260</v>
      </c>
      <c r="E17" s="1" t="n">
        <v>4.32273</v>
      </c>
      <c r="F17" s="1" t="n">
        <v>0.00768</v>
      </c>
      <c r="G17" s="1" t="n">
        <v>4.3249</v>
      </c>
      <c r="H17" s="1" t="n">
        <v>0.00684</v>
      </c>
      <c r="I17" s="1" t="n">
        <v>4.3276</v>
      </c>
      <c r="J17" s="1" t="n">
        <v>0.00487</v>
      </c>
      <c r="K17" s="1" t="n">
        <v>4.32812</v>
      </c>
      <c r="L17" s="1" t="n">
        <v>0.0047</v>
      </c>
    </row>
    <row r="18" customFormat="false" ht="12.8" hidden="false" customHeight="false" outlineLevel="0" collapsed="false">
      <c r="A18" s="4" t="s">
        <v>12</v>
      </c>
      <c r="B18" s="4" t="n">
        <v>512</v>
      </c>
      <c r="C18" s="4" t="n">
        <v>70</v>
      </c>
      <c r="D18" s="1" t="str">
        <f aca="false">A18&amp;B18&amp;C18</f>
        <v>NO SDWN51270</v>
      </c>
      <c r="E18" s="1" t="n">
        <v>4.32133</v>
      </c>
      <c r="F18" s="1" t="n">
        <v>0.00828</v>
      </c>
      <c r="G18" s="1" t="n">
        <v>4.32436</v>
      </c>
      <c r="H18" s="1" t="n">
        <v>0.00757</v>
      </c>
      <c r="I18" s="1" t="n">
        <v>4.32613</v>
      </c>
      <c r="J18" s="1" t="n">
        <v>0.00647</v>
      </c>
      <c r="K18" s="1" t="n">
        <v>4.32757</v>
      </c>
      <c r="L18" s="1" t="n">
        <v>0.00529</v>
      </c>
    </row>
    <row r="19" customFormat="false" ht="12.8" hidden="false" customHeight="false" outlineLevel="0" collapsed="false">
      <c r="A19" s="4" t="s">
        <v>12</v>
      </c>
      <c r="B19" s="4" t="n">
        <v>512</v>
      </c>
      <c r="C19" s="4" t="n">
        <v>80</v>
      </c>
      <c r="D19" s="1" t="str">
        <f aca="false">A19&amp;B19&amp;C19</f>
        <v>NO SDWN51280</v>
      </c>
      <c r="E19" s="1" t="n">
        <v>4.31904</v>
      </c>
      <c r="F19" s="1" t="n">
        <v>0.00847</v>
      </c>
      <c r="G19" s="1" t="n">
        <v>4.32385</v>
      </c>
      <c r="H19" s="1" t="n">
        <v>0.008</v>
      </c>
      <c r="I19" s="1" t="n">
        <v>4.3253</v>
      </c>
      <c r="J19" s="1" t="n">
        <v>0.00696</v>
      </c>
      <c r="K19" s="1" t="n">
        <v>4.32736</v>
      </c>
      <c r="L19" s="1" t="n">
        <v>0.00555</v>
      </c>
    </row>
    <row r="20" customFormat="false" ht="12.8" hidden="false" customHeight="false" outlineLevel="0" collapsed="false">
      <c r="A20" s="4" t="s">
        <v>12</v>
      </c>
      <c r="B20" s="4" t="n">
        <v>512</v>
      </c>
      <c r="C20" s="4" t="n">
        <v>90</v>
      </c>
      <c r="D20" s="1" t="str">
        <f aca="false">A20&amp;B20&amp;C20</f>
        <v>NO SDWN51290</v>
      </c>
      <c r="E20" s="1" t="n">
        <v>4.31961</v>
      </c>
      <c r="F20" s="1" t="n">
        <v>0.00902</v>
      </c>
      <c r="G20" s="1" t="n">
        <v>4.32263</v>
      </c>
      <c r="H20" s="1" t="n">
        <v>0.0084</v>
      </c>
      <c r="I20" s="1" t="n">
        <v>4.3258</v>
      </c>
      <c r="J20" s="1" t="n">
        <v>0.00675</v>
      </c>
      <c r="K20" s="1" t="n">
        <v>4.32782</v>
      </c>
      <c r="L20" s="1" t="n">
        <v>0.00494</v>
      </c>
    </row>
    <row r="21" customFormat="false" ht="12.8" hidden="false" customHeight="false" outlineLevel="0" collapsed="false">
      <c r="A21" s="4" t="s">
        <v>12</v>
      </c>
      <c r="B21" s="4" t="n">
        <v>512</v>
      </c>
      <c r="C21" s="4" t="n">
        <v>100</v>
      </c>
      <c r="D21" s="1" t="str">
        <f aca="false">A21&amp;B21&amp;C21</f>
        <v>NO SDWN512100</v>
      </c>
      <c r="E21" s="1" t="n">
        <v>4.31672</v>
      </c>
      <c r="F21" s="1" t="n">
        <v>0.01883</v>
      </c>
      <c r="G21" s="1" t="n">
        <v>4.32189</v>
      </c>
      <c r="H21" s="1" t="n">
        <v>0.00907</v>
      </c>
      <c r="I21" s="1" t="n">
        <v>4.3251</v>
      </c>
      <c r="J21" s="1" t="n">
        <v>0.0073</v>
      </c>
      <c r="K21" s="1" t="n">
        <v>4.32702</v>
      </c>
      <c r="L21" s="1" t="n">
        <v>0.00576</v>
      </c>
    </row>
    <row r="22" customFormat="false" ht="12.8" hidden="false" customHeight="false" outlineLevel="0" collapsed="false">
      <c r="A22" s="4" t="s">
        <v>12</v>
      </c>
      <c r="B22" s="4" t="n">
        <v>1024</v>
      </c>
      <c r="C22" s="4" t="n">
        <v>10</v>
      </c>
      <c r="D22" s="1" t="str">
        <f aca="false">A22&amp;B22&amp;C22</f>
        <v>NO SDWN102410</v>
      </c>
      <c r="E22" s="1" t="n">
        <v>8.42933</v>
      </c>
      <c r="F22" s="1" t="n">
        <v>0.00254</v>
      </c>
      <c r="G22" s="1" t="n">
        <v>8.42967</v>
      </c>
      <c r="H22" s="1" t="n">
        <v>0.00183</v>
      </c>
      <c r="I22" s="1" t="n">
        <v>8.4285</v>
      </c>
      <c r="J22" s="1" t="n">
        <v>0.00366</v>
      </c>
      <c r="K22" s="1" t="n">
        <v>8.4285</v>
      </c>
      <c r="L22" s="1" t="n">
        <v>0.00366</v>
      </c>
    </row>
    <row r="23" customFormat="false" ht="12.8" hidden="false" customHeight="false" outlineLevel="0" collapsed="false">
      <c r="A23" s="4" t="s">
        <v>12</v>
      </c>
      <c r="B23" s="4" t="n">
        <v>1024</v>
      </c>
      <c r="C23" s="4" t="n">
        <v>20</v>
      </c>
      <c r="D23" s="1" t="str">
        <f aca="false">A23&amp;B23&amp;C23</f>
        <v>NO SDWN102420</v>
      </c>
      <c r="E23" s="1" t="n">
        <v>8.428</v>
      </c>
      <c r="F23" s="1" t="n">
        <v>0.00404</v>
      </c>
      <c r="G23" s="1" t="n">
        <v>8.4286</v>
      </c>
      <c r="H23" s="1" t="n">
        <v>0.00351</v>
      </c>
      <c r="I23" s="1" t="n">
        <v>8.4296</v>
      </c>
      <c r="J23" s="1" t="n">
        <v>0.00198</v>
      </c>
      <c r="K23" s="1" t="n">
        <v>8.4296</v>
      </c>
      <c r="L23" s="1" t="n">
        <v>0.00198</v>
      </c>
    </row>
    <row r="24" customFormat="false" ht="12.8" hidden="false" customHeight="false" outlineLevel="0" collapsed="false">
      <c r="A24" s="4" t="s">
        <v>12</v>
      </c>
      <c r="B24" s="4" t="n">
        <v>1024</v>
      </c>
      <c r="C24" s="4" t="n">
        <v>30</v>
      </c>
      <c r="D24" s="1" t="str">
        <f aca="false">A24&amp;B24&amp;C24</f>
        <v>NO SDWN102430</v>
      </c>
      <c r="E24" s="1" t="n">
        <v>8.42562</v>
      </c>
      <c r="F24" s="1" t="n">
        <v>0.0057</v>
      </c>
      <c r="G24" s="1" t="n">
        <v>8.42862</v>
      </c>
      <c r="H24" s="1" t="n">
        <v>0.00347</v>
      </c>
      <c r="I24" s="1" t="n">
        <v>8.42914</v>
      </c>
      <c r="J24" s="1" t="n">
        <v>0.00282</v>
      </c>
      <c r="K24" s="1" t="n">
        <v>8.42929</v>
      </c>
      <c r="L24" s="1" t="n">
        <v>0.00259</v>
      </c>
    </row>
    <row r="25" customFormat="false" ht="12.8" hidden="false" customHeight="false" outlineLevel="0" collapsed="false">
      <c r="A25" s="4" t="s">
        <v>12</v>
      </c>
      <c r="B25" s="4" t="n">
        <v>1024</v>
      </c>
      <c r="C25" s="4" t="n">
        <v>40</v>
      </c>
      <c r="D25" s="1" t="str">
        <f aca="false">A25&amp;B25&amp;C25</f>
        <v>NO SDWN102440</v>
      </c>
      <c r="E25" s="1" t="n">
        <v>8.4221</v>
      </c>
      <c r="F25" s="1" t="n">
        <v>0.01038</v>
      </c>
      <c r="G25" s="1" t="n">
        <v>8.4264</v>
      </c>
      <c r="H25" s="1" t="n">
        <v>0.00772</v>
      </c>
      <c r="I25" s="1" t="n">
        <v>8.42758</v>
      </c>
      <c r="J25" s="1" t="n">
        <v>0.00497</v>
      </c>
      <c r="K25" s="1" t="n">
        <v>8.4286</v>
      </c>
      <c r="L25" s="1" t="n">
        <v>0.00493</v>
      </c>
    </row>
    <row r="26" customFormat="false" ht="12.8" hidden="false" customHeight="false" outlineLevel="0" collapsed="false">
      <c r="A26" s="4" t="s">
        <v>12</v>
      </c>
      <c r="B26" s="4" t="n">
        <v>1024</v>
      </c>
      <c r="C26" s="4" t="n">
        <v>50</v>
      </c>
      <c r="D26" s="1" t="str">
        <f aca="false">A26&amp;B26&amp;C26</f>
        <v>NO SDWN102450</v>
      </c>
      <c r="E26" s="1" t="n">
        <v>8.42178</v>
      </c>
      <c r="F26" s="1" t="n">
        <v>0.01019</v>
      </c>
      <c r="G26" s="1" t="n">
        <v>8.42589</v>
      </c>
      <c r="H26" s="1" t="n">
        <v>0.00816</v>
      </c>
      <c r="I26" s="1" t="n">
        <v>8.42758</v>
      </c>
      <c r="J26" s="1" t="n">
        <v>0.00534</v>
      </c>
      <c r="K26" s="1" t="n">
        <v>8.4285</v>
      </c>
      <c r="L26" s="1" t="n">
        <v>0.00359</v>
      </c>
    </row>
    <row r="27" customFormat="false" ht="12.8" hidden="false" customHeight="false" outlineLevel="0" collapsed="false">
      <c r="A27" s="4" t="s">
        <v>12</v>
      </c>
      <c r="B27" s="4" t="n">
        <v>1024</v>
      </c>
      <c r="C27" s="4" t="n">
        <v>60</v>
      </c>
      <c r="D27" s="1" t="str">
        <f aca="false">A27&amp;B27&amp;C27</f>
        <v>NO SDWN102460</v>
      </c>
      <c r="E27" s="1" t="n">
        <v>8.41926</v>
      </c>
      <c r="F27" s="1" t="n">
        <v>0.01225</v>
      </c>
      <c r="G27" s="1" t="n">
        <v>8.4234</v>
      </c>
      <c r="H27" s="1" t="n">
        <v>0.01035</v>
      </c>
      <c r="I27" s="1" t="n">
        <v>8.42753</v>
      </c>
      <c r="J27" s="1" t="n">
        <v>0.0059</v>
      </c>
      <c r="K27" s="1" t="n">
        <v>8.42725</v>
      </c>
      <c r="L27" s="1" t="n">
        <v>0.00635</v>
      </c>
    </row>
    <row r="28" customFormat="false" ht="12.8" hidden="false" customHeight="false" outlineLevel="0" collapsed="false">
      <c r="A28" s="4" t="s">
        <v>12</v>
      </c>
      <c r="B28" s="4" t="n">
        <v>1024</v>
      </c>
      <c r="C28" s="4" t="n">
        <v>70</v>
      </c>
      <c r="D28" s="1" t="str">
        <f aca="false">A28&amp;B28&amp;C28</f>
        <v>NO SDWN102470</v>
      </c>
      <c r="E28" s="1" t="n">
        <v>8.41917</v>
      </c>
      <c r="F28" s="1" t="n">
        <v>0.01337</v>
      </c>
      <c r="G28" s="1" t="n">
        <v>8.42256</v>
      </c>
      <c r="H28" s="1" t="n">
        <v>0.01124</v>
      </c>
      <c r="I28" s="1" t="n">
        <v>8.42613</v>
      </c>
      <c r="J28" s="1" t="n">
        <v>0.00773</v>
      </c>
      <c r="K28" s="1" t="n">
        <v>8.42754</v>
      </c>
      <c r="L28" s="1" t="n">
        <v>0.00635</v>
      </c>
    </row>
    <row r="29" customFormat="false" ht="12.8" hidden="false" customHeight="false" outlineLevel="0" collapsed="false">
      <c r="A29" s="4" t="s">
        <v>12</v>
      </c>
      <c r="B29" s="4" t="n">
        <v>1024</v>
      </c>
      <c r="C29" s="4" t="n">
        <v>80</v>
      </c>
      <c r="D29" s="1" t="str">
        <f aca="false">A29&amp;B29&amp;C29</f>
        <v>NO SDWN102480</v>
      </c>
      <c r="E29" s="1" t="n">
        <v>8.41307</v>
      </c>
      <c r="F29" s="1" t="n">
        <v>0.01706</v>
      </c>
      <c r="G29" s="1" t="n">
        <v>8.42246</v>
      </c>
      <c r="H29" s="1" t="n">
        <v>0.01257</v>
      </c>
      <c r="I29" s="1" t="n">
        <v>8.42359</v>
      </c>
      <c r="J29" s="1" t="n">
        <v>0.00996</v>
      </c>
      <c r="K29" s="1" t="n">
        <v>8.42729</v>
      </c>
      <c r="L29" s="1" t="n">
        <v>0.00664</v>
      </c>
    </row>
    <row r="30" customFormat="false" ht="12.8" hidden="false" customHeight="false" outlineLevel="0" collapsed="false">
      <c r="A30" s="4" t="s">
        <v>12</v>
      </c>
      <c r="B30" s="4" t="n">
        <v>1024</v>
      </c>
      <c r="C30" s="4" t="n">
        <v>90</v>
      </c>
      <c r="D30" s="1" t="str">
        <f aca="false">A30&amp;B30&amp;C30</f>
        <v>NO SDWN102490</v>
      </c>
      <c r="E30" s="1" t="n">
        <v>8.41199</v>
      </c>
      <c r="F30" s="1" t="n">
        <v>0.01811</v>
      </c>
      <c r="G30" s="1" t="n">
        <v>8.41965</v>
      </c>
      <c r="H30" s="1" t="n">
        <v>0.01317</v>
      </c>
      <c r="I30" s="1" t="n">
        <v>8.42454</v>
      </c>
      <c r="J30" s="1" t="n">
        <v>0.00998</v>
      </c>
      <c r="K30" s="1" t="n">
        <v>8.42614</v>
      </c>
      <c r="L30" s="1" t="n">
        <v>0.01119</v>
      </c>
    </row>
    <row r="31" customFormat="false" ht="12.8" hidden="false" customHeight="false" outlineLevel="0" collapsed="false">
      <c r="A31" s="4" t="s">
        <v>12</v>
      </c>
      <c r="B31" s="4" t="n">
        <v>1024</v>
      </c>
      <c r="C31" s="4" t="n">
        <v>100</v>
      </c>
      <c r="D31" s="1" t="str">
        <f aca="false">A31&amp;B31&amp;C31</f>
        <v>NO SDWN1024100</v>
      </c>
      <c r="E31" s="1" t="n">
        <v>8.40704</v>
      </c>
      <c r="F31" s="1" t="n">
        <v>0.05467</v>
      </c>
      <c r="G31" s="1" t="n">
        <v>8.41732</v>
      </c>
      <c r="H31" s="1" t="n">
        <v>0.01526</v>
      </c>
      <c r="I31" s="1" t="n">
        <v>8.42231</v>
      </c>
      <c r="J31" s="1" t="n">
        <v>0.01233</v>
      </c>
      <c r="K31" s="1" t="n">
        <v>8.42625</v>
      </c>
      <c r="L31" s="1" t="n">
        <v>0.0082</v>
      </c>
    </row>
    <row r="32" customFormat="false" ht="12.8" hidden="false" customHeight="false" outlineLevel="0" collapsed="false">
      <c r="A32" s="4" t="s">
        <v>13</v>
      </c>
      <c r="B32" s="4" t="n">
        <v>256</v>
      </c>
      <c r="C32" s="4" t="n">
        <v>10</v>
      </c>
      <c r="D32" s="1" t="str">
        <f aca="false">A32&amp;B32&amp;C32</f>
        <v>SDWN EDCA25610</v>
      </c>
      <c r="E32" s="1" t="n">
        <v>2.27833</v>
      </c>
      <c r="F32" s="1" t="n">
        <v>0.00379</v>
      </c>
      <c r="G32" s="1" t="n">
        <v>2.28</v>
      </c>
      <c r="H32" s="1" t="n">
        <v>0</v>
      </c>
      <c r="I32" s="1" t="n">
        <v>2.279</v>
      </c>
      <c r="J32" s="1" t="n">
        <v>0.00308</v>
      </c>
      <c r="K32" s="1" t="n">
        <v>2.28</v>
      </c>
      <c r="L32" s="1" t="n">
        <v>0</v>
      </c>
    </row>
    <row r="33" customFormat="false" ht="12.8" hidden="false" customHeight="false" outlineLevel="0" collapsed="false">
      <c r="A33" s="4" t="s">
        <v>13</v>
      </c>
      <c r="B33" s="4" t="n">
        <v>256</v>
      </c>
      <c r="C33" s="4" t="n">
        <v>20</v>
      </c>
      <c r="D33" s="1" t="str">
        <f aca="false">A33&amp;B33&amp;C33</f>
        <v>SDWN EDCA25620</v>
      </c>
      <c r="E33" s="1" t="n">
        <v>2.2782</v>
      </c>
      <c r="F33" s="1" t="n">
        <v>0.00388</v>
      </c>
      <c r="G33" s="1" t="n">
        <v>2.2782</v>
      </c>
      <c r="H33" s="1" t="n">
        <v>0.00388</v>
      </c>
      <c r="I33" s="1" t="n">
        <v>2.2794</v>
      </c>
      <c r="J33" s="1" t="n">
        <v>0.0024</v>
      </c>
      <c r="K33" s="1" t="n">
        <v>2.2798</v>
      </c>
      <c r="L33" s="1" t="n">
        <v>0.00141</v>
      </c>
    </row>
    <row r="34" customFormat="false" ht="12.8" hidden="false" customHeight="false" outlineLevel="0" collapsed="false">
      <c r="A34" s="4" t="s">
        <v>13</v>
      </c>
      <c r="B34" s="4" t="n">
        <v>256</v>
      </c>
      <c r="C34" s="4" t="n">
        <v>30</v>
      </c>
      <c r="D34" s="1" t="str">
        <f aca="false">A34&amp;B34&amp;C34</f>
        <v>SDWN EDCA25630</v>
      </c>
      <c r="E34" s="1" t="n">
        <v>2.27684</v>
      </c>
      <c r="F34" s="1" t="n">
        <v>0.00468</v>
      </c>
      <c r="G34" s="1" t="n">
        <v>2.2775</v>
      </c>
      <c r="H34" s="1" t="n">
        <v>0.00436</v>
      </c>
      <c r="I34" s="1" t="n">
        <v>2.27929</v>
      </c>
      <c r="J34" s="1" t="n">
        <v>0.00259</v>
      </c>
      <c r="K34" s="1" t="n">
        <v>2.27913</v>
      </c>
      <c r="L34" s="1" t="n">
        <v>0.00284</v>
      </c>
    </row>
    <row r="35" customFormat="false" ht="12.8" hidden="false" customHeight="false" outlineLevel="0" collapsed="false">
      <c r="A35" s="4" t="s">
        <v>13</v>
      </c>
      <c r="B35" s="4" t="n">
        <v>256</v>
      </c>
      <c r="C35" s="4" t="n">
        <v>40</v>
      </c>
      <c r="D35" s="1" t="str">
        <f aca="false">A35&amp;B35&amp;C35</f>
        <v>SDWN EDCA25640</v>
      </c>
      <c r="E35" s="1" t="n">
        <v>2.27531</v>
      </c>
      <c r="F35" s="1" t="n">
        <v>0.00502</v>
      </c>
      <c r="G35" s="1" t="n">
        <v>2.27776</v>
      </c>
      <c r="H35" s="1" t="n">
        <v>0.00419</v>
      </c>
      <c r="I35" s="1" t="n">
        <v>2.27866</v>
      </c>
      <c r="J35" s="1" t="n">
        <v>0.00342</v>
      </c>
      <c r="K35" s="1" t="n">
        <v>2.27908</v>
      </c>
      <c r="L35" s="1" t="n">
        <v>0.0029</v>
      </c>
    </row>
    <row r="36" customFormat="false" ht="12.8" hidden="false" customHeight="false" outlineLevel="0" collapsed="false">
      <c r="A36" s="4" t="s">
        <v>13</v>
      </c>
      <c r="B36" s="4" t="n">
        <v>256</v>
      </c>
      <c r="C36" s="4" t="n">
        <v>50</v>
      </c>
      <c r="D36" s="1" t="str">
        <f aca="false">A36&amp;B36&amp;C36</f>
        <v>SDWN EDCA25650</v>
      </c>
      <c r="E36" s="1" t="n">
        <v>2.27446</v>
      </c>
      <c r="F36" s="1" t="n">
        <v>0.00514</v>
      </c>
      <c r="G36" s="1" t="n">
        <v>2.27734</v>
      </c>
      <c r="H36" s="1" t="n">
        <v>0.00443</v>
      </c>
      <c r="I36" s="1" t="n">
        <v>2.27807</v>
      </c>
      <c r="J36" s="1" t="n">
        <v>0.00397</v>
      </c>
      <c r="K36" s="1" t="n">
        <v>2.27825</v>
      </c>
      <c r="L36" s="1" t="n">
        <v>0.00382</v>
      </c>
    </row>
    <row r="37" customFormat="false" ht="12.8" hidden="false" customHeight="false" outlineLevel="0" collapsed="false">
      <c r="A37" s="4" t="s">
        <v>13</v>
      </c>
      <c r="B37" s="4" t="n">
        <v>256</v>
      </c>
      <c r="C37" s="4" t="n">
        <v>60</v>
      </c>
      <c r="D37" s="1" t="str">
        <f aca="false">A37&amp;B37&amp;C37</f>
        <v>SDWN EDCA25660</v>
      </c>
      <c r="E37" s="1" t="n">
        <v>2.27378</v>
      </c>
      <c r="F37" s="1" t="n">
        <v>0.0054</v>
      </c>
      <c r="G37" s="1" t="n">
        <v>2.27567</v>
      </c>
      <c r="H37" s="1" t="n">
        <v>0.00511</v>
      </c>
      <c r="I37" s="1" t="n">
        <v>2.27772</v>
      </c>
      <c r="J37" s="1" t="n">
        <v>0.00421</v>
      </c>
      <c r="K37" s="1" t="n">
        <v>2.27866</v>
      </c>
      <c r="L37" s="1" t="n">
        <v>0.00342</v>
      </c>
    </row>
    <row r="38" customFormat="false" ht="12.8" hidden="false" customHeight="false" outlineLevel="0" collapsed="false">
      <c r="A38" s="4" t="s">
        <v>13</v>
      </c>
      <c r="B38" s="4" t="n">
        <v>256</v>
      </c>
      <c r="C38" s="4" t="n">
        <v>70</v>
      </c>
      <c r="D38" s="1" t="str">
        <f aca="false">A38&amp;B38&amp;C38</f>
        <v>SDWN EDCA25670</v>
      </c>
      <c r="E38" s="1" t="n">
        <v>2.27383</v>
      </c>
      <c r="F38" s="1" t="n">
        <v>0.00572</v>
      </c>
      <c r="G38" s="1" t="n">
        <v>2.27592</v>
      </c>
      <c r="H38" s="1" t="n">
        <v>0.00536</v>
      </c>
      <c r="I38" s="1" t="n">
        <v>2.27744</v>
      </c>
      <c r="J38" s="1" t="n">
        <v>0.00451</v>
      </c>
      <c r="K38" s="1" t="n">
        <v>2.27817</v>
      </c>
      <c r="L38" s="1" t="n">
        <v>0.00388</v>
      </c>
    </row>
    <row r="39" customFormat="false" ht="12.8" hidden="false" customHeight="false" outlineLevel="0" collapsed="false">
      <c r="A39" s="4" t="s">
        <v>13</v>
      </c>
      <c r="B39" s="4" t="n">
        <v>256</v>
      </c>
      <c r="C39" s="4" t="n">
        <v>80</v>
      </c>
      <c r="D39" s="1" t="str">
        <f aca="false">A39&amp;B39&amp;C39</f>
        <v>SDWN EDCA25680</v>
      </c>
      <c r="E39" s="1" t="n">
        <v>2.27291</v>
      </c>
      <c r="F39" s="1" t="n">
        <v>0.00608</v>
      </c>
      <c r="G39" s="1" t="n">
        <v>2.27515</v>
      </c>
      <c r="H39" s="1" t="n">
        <v>0.00576</v>
      </c>
      <c r="I39" s="1" t="n">
        <v>2.27628</v>
      </c>
      <c r="J39" s="1" t="n">
        <v>0.00495</v>
      </c>
      <c r="K39" s="1" t="n">
        <v>2.27818</v>
      </c>
      <c r="L39" s="1" t="n">
        <v>0.00387</v>
      </c>
    </row>
    <row r="40" customFormat="false" ht="12.8" hidden="false" customHeight="false" outlineLevel="0" collapsed="false">
      <c r="A40" s="4" t="s">
        <v>13</v>
      </c>
      <c r="B40" s="4" t="n">
        <v>256</v>
      </c>
      <c r="C40" s="4" t="n">
        <v>90</v>
      </c>
      <c r="D40" s="1" t="str">
        <f aca="false">A40&amp;B40&amp;C40</f>
        <v>SDWN EDCA25690</v>
      </c>
      <c r="E40" s="1" t="n">
        <v>2.27201</v>
      </c>
      <c r="F40" s="1" t="n">
        <v>0.00658</v>
      </c>
      <c r="G40" s="1" t="n">
        <v>2.27493</v>
      </c>
      <c r="H40" s="1" t="n">
        <v>0.00597</v>
      </c>
      <c r="I40" s="1" t="n">
        <v>2.27729</v>
      </c>
      <c r="J40" s="1" t="n">
        <v>0.00456</v>
      </c>
      <c r="K40" s="1" t="n">
        <v>2.27826</v>
      </c>
      <c r="L40" s="1" t="n">
        <v>0.0038</v>
      </c>
    </row>
    <row r="41" customFormat="false" ht="12.8" hidden="false" customHeight="false" outlineLevel="0" collapsed="false">
      <c r="A41" s="4" t="s">
        <v>13</v>
      </c>
      <c r="B41" s="4" t="n">
        <v>256</v>
      </c>
      <c r="C41" s="4" t="n">
        <v>100</v>
      </c>
      <c r="D41" s="1" t="str">
        <f aca="false">A41&amp;B41&amp;C41</f>
        <v>SDWN EDCA256100</v>
      </c>
      <c r="E41" s="1" t="n">
        <v>2.2704</v>
      </c>
      <c r="F41" s="1" t="n">
        <v>0.00814</v>
      </c>
      <c r="G41" s="1" t="n">
        <v>2.2743</v>
      </c>
      <c r="H41" s="1" t="n">
        <v>0.00625</v>
      </c>
      <c r="I41" s="1" t="n">
        <v>2.27646</v>
      </c>
      <c r="J41" s="1" t="n">
        <v>0.00535</v>
      </c>
      <c r="K41" s="1" t="n">
        <v>2.27772</v>
      </c>
      <c r="L41" s="1" t="n">
        <v>0.0043</v>
      </c>
    </row>
    <row r="42" customFormat="false" ht="12.8" hidden="false" customHeight="false" outlineLevel="0" collapsed="false">
      <c r="A42" s="4" t="s">
        <v>13</v>
      </c>
      <c r="B42" s="4" t="n">
        <v>512</v>
      </c>
      <c r="C42" s="4" t="n">
        <v>10</v>
      </c>
      <c r="D42" s="1" t="str">
        <f aca="false">A42&amp;B42&amp;C42</f>
        <v>SDWN EDCA51210</v>
      </c>
      <c r="E42" s="1" t="n">
        <v>4.32833</v>
      </c>
      <c r="F42" s="1" t="n">
        <v>0.00379</v>
      </c>
      <c r="G42" s="1" t="n">
        <v>4.33</v>
      </c>
      <c r="H42" s="1" t="n">
        <v>0</v>
      </c>
      <c r="I42" s="1" t="n">
        <v>4.329</v>
      </c>
      <c r="J42" s="1" t="n">
        <v>0.00308</v>
      </c>
      <c r="K42" s="1" t="n">
        <v>4.33</v>
      </c>
      <c r="L42" s="1" t="n">
        <v>0</v>
      </c>
    </row>
    <row r="43" customFormat="false" ht="12.8" hidden="false" customHeight="false" outlineLevel="0" collapsed="false">
      <c r="A43" s="4" t="s">
        <v>13</v>
      </c>
      <c r="B43" s="4" t="n">
        <v>512</v>
      </c>
      <c r="C43" s="4" t="n">
        <v>20</v>
      </c>
      <c r="D43" s="1" t="str">
        <f aca="false">A43&amp;B43&amp;C43</f>
        <v>SDWN EDCA51220</v>
      </c>
      <c r="E43" s="1" t="n">
        <v>4.3282</v>
      </c>
      <c r="F43" s="1" t="n">
        <v>0.00388</v>
      </c>
      <c r="G43" s="1" t="n">
        <v>4.3282</v>
      </c>
      <c r="H43" s="1" t="n">
        <v>0.00388</v>
      </c>
      <c r="I43" s="1" t="n">
        <v>4.3294</v>
      </c>
      <c r="J43" s="1" t="n">
        <v>0.0024</v>
      </c>
      <c r="K43" s="1" t="n">
        <v>4.3298</v>
      </c>
      <c r="L43" s="1" t="n">
        <v>0.00141</v>
      </c>
    </row>
    <row r="44" customFormat="false" ht="12.8" hidden="false" customHeight="false" outlineLevel="0" collapsed="false">
      <c r="A44" s="4" t="s">
        <v>13</v>
      </c>
      <c r="B44" s="4" t="n">
        <v>512</v>
      </c>
      <c r="C44" s="4" t="n">
        <v>30</v>
      </c>
      <c r="D44" s="1" t="str">
        <f aca="false">A44&amp;B44&amp;C44</f>
        <v>SDWN EDCA51230</v>
      </c>
      <c r="E44" s="1" t="n">
        <v>4.32658</v>
      </c>
      <c r="F44" s="1" t="n">
        <v>0.00528</v>
      </c>
      <c r="G44" s="1" t="n">
        <v>4.32725</v>
      </c>
      <c r="H44" s="1" t="n">
        <v>0.00449</v>
      </c>
      <c r="I44" s="1" t="n">
        <v>4.32943</v>
      </c>
      <c r="J44" s="1" t="n">
        <v>0.00289</v>
      </c>
      <c r="K44" s="1" t="n">
        <v>4.32913</v>
      </c>
      <c r="L44" s="1" t="n">
        <v>0.00284</v>
      </c>
    </row>
    <row r="45" customFormat="false" ht="12.8" hidden="false" customHeight="false" outlineLevel="0" collapsed="false">
      <c r="A45" s="4" t="s">
        <v>13</v>
      </c>
      <c r="B45" s="4" t="n">
        <v>512</v>
      </c>
      <c r="C45" s="4" t="n">
        <v>40</v>
      </c>
      <c r="D45" s="1" t="str">
        <f aca="false">A45&amp;B45&amp;C45</f>
        <v>SDWN EDCA51240</v>
      </c>
      <c r="E45" s="1" t="n">
        <v>4.32424</v>
      </c>
      <c r="F45" s="1" t="n">
        <v>0.00671</v>
      </c>
      <c r="G45" s="1" t="n">
        <v>4.32755</v>
      </c>
      <c r="H45" s="1" t="n">
        <v>0.00455</v>
      </c>
      <c r="I45" s="1" t="n">
        <v>4.32857</v>
      </c>
      <c r="J45" s="1" t="n">
        <v>0.00352</v>
      </c>
      <c r="K45" s="1" t="n">
        <v>4.32907</v>
      </c>
      <c r="L45" s="1" t="n">
        <v>0.00292</v>
      </c>
    </row>
    <row r="46" customFormat="false" ht="12.8" hidden="false" customHeight="false" outlineLevel="0" collapsed="false">
      <c r="A46" s="4" t="s">
        <v>13</v>
      </c>
      <c r="B46" s="4" t="n">
        <v>512</v>
      </c>
      <c r="C46" s="4" t="n">
        <v>50</v>
      </c>
      <c r="D46" s="1" t="str">
        <f aca="false">A46&amp;B46&amp;C46</f>
        <v>SDWN EDCA51250</v>
      </c>
      <c r="E46" s="1" t="n">
        <v>4.32331</v>
      </c>
      <c r="F46" s="1" t="n">
        <v>0.00719</v>
      </c>
      <c r="G46" s="1" t="n">
        <v>4.32667</v>
      </c>
      <c r="H46" s="1" t="n">
        <v>0.00654</v>
      </c>
      <c r="I46" s="1" t="n">
        <v>4.32817</v>
      </c>
      <c r="J46" s="1" t="n">
        <v>0.0041</v>
      </c>
      <c r="K46" s="1" t="n">
        <v>4.32817</v>
      </c>
      <c r="L46" s="1" t="n">
        <v>0.0041</v>
      </c>
    </row>
    <row r="47" customFormat="false" ht="12.8" hidden="false" customHeight="false" outlineLevel="0" collapsed="false">
      <c r="A47" s="4" t="s">
        <v>13</v>
      </c>
      <c r="B47" s="4" t="n">
        <v>512</v>
      </c>
      <c r="C47" s="4" t="n">
        <v>60</v>
      </c>
      <c r="D47" s="1" t="str">
        <f aca="false">A47&amp;B47&amp;C47</f>
        <v>SDWN EDCA51260</v>
      </c>
      <c r="E47" s="1" t="n">
        <v>4.32208</v>
      </c>
      <c r="F47" s="1" t="n">
        <v>0.00782</v>
      </c>
      <c r="G47" s="1" t="n">
        <v>4.32453</v>
      </c>
      <c r="H47" s="1" t="n">
        <v>0.00729</v>
      </c>
      <c r="I47" s="1" t="n">
        <v>4.32753</v>
      </c>
      <c r="J47" s="1" t="n">
        <v>0.0053</v>
      </c>
      <c r="K47" s="1" t="n">
        <v>4.32765</v>
      </c>
      <c r="L47" s="1" t="n">
        <v>0.00512</v>
      </c>
    </row>
    <row r="48" customFormat="false" ht="12.8" hidden="false" customHeight="false" outlineLevel="0" collapsed="false">
      <c r="A48" s="4" t="s">
        <v>13</v>
      </c>
      <c r="B48" s="4" t="n">
        <v>512</v>
      </c>
      <c r="C48" s="4" t="n">
        <v>70</v>
      </c>
      <c r="D48" s="1" t="str">
        <f aca="false">A48&amp;B48&amp;C48</f>
        <v>SDWN EDCA51270</v>
      </c>
      <c r="E48" s="1" t="n">
        <v>4.32161</v>
      </c>
      <c r="F48" s="1" t="n">
        <v>0.00792</v>
      </c>
      <c r="G48" s="1" t="n">
        <v>4.32492</v>
      </c>
      <c r="H48" s="1" t="n">
        <v>0.00698</v>
      </c>
      <c r="I48" s="1" t="n">
        <v>4.32651</v>
      </c>
      <c r="J48" s="1" t="n">
        <v>0.006</v>
      </c>
      <c r="K48" s="1" t="n">
        <v>4.32847</v>
      </c>
      <c r="L48" s="1" t="n">
        <v>0.00407</v>
      </c>
    </row>
    <row r="49" customFormat="false" ht="12.8" hidden="false" customHeight="false" outlineLevel="0" collapsed="false">
      <c r="A49" s="4" t="s">
        <v>13</v>
      </c>
      <c r="B49" s="4" t="n">
        <v>512</v>
      </c>
      <c r="C49" s="4" t="n">
        <v>80</v>
      </c>
      <c r="D49" s="1" t="str">
        <f aca="false">A49&amp;B49&amp;C49</f>
        <v>SDWN EDCA51280</v>
      </c>
      <c r="E49" s="1" t="n">
        <v>4.3202</v>
      </c>
      <c r="F49" s="1" t="n">
        <v>0.00908</v>
      </c>
      <c r="G49" s="1" t="n">
        <v>4.32397</v>
      </c>
      <c r="H49" s="1" t="n">
        <v>0.0073</v>
      </c>
      <c r="I49" s="1" t="n">
        <v>4.3252</v>
      </c>
      <c r="J49" s="1" t="n">
        <v>0.0071</v>
      </c>
      <c r="K49" s="1" t="n">
        <v>4.32829</v>
      </c>
      <c r="L49" s="1" t="n">
        <v>0.0039</v>
      </c>
    </row>
    <row r="50" customFormat="false" ht="12.8" hidden="false" customHeight="false" outlineLevel="0" collapsed="false">
      <c r="A50" s="4" t="s">
        <v>13</v>
      </c>
      <c r="B50" s="4" t="n">
        <v>512</v>
      </c>
      <c r="C50" s="4" t="n">
        <v>90</v>
      </c>
      <c r="D50" s="1" t="str">
        <f aca="false">A50&amp;B50&amp;C50</f>
        <v>SDWN EDCA51290</v>
      </c>
      <c r="E50" s="1" t="n">
        <v>4.31629</v>
      </c>
      <c r="F50" s="1" t="n">
        <v>0.03966</v>
      </c>
      <c r="G50" s="1" t="n">
        <v>4.32306</v>
      </c>
      <c r="H50" s="1" t="n">
        <v>0.00875</v>
      </c>
      <c r="I50" s="1" t="n">
        <v>4.32548</v>
      </c>
      <c r="J50" s="1" t="n">
        <v>0.00713</v>
      </c>
      <c r="K50" s="1" t="n">
        <v>4.32771</v>
      </c>
      <c r="L50" s="1" t="n">
        <v>0.0051</v>
      </c>
    </row>
    <row r="51" customFormat="false" ht="12.8" hidden="false" customHeight="false" outlineLevel="0" collapsed="false">
      <c r="A51" s="4" t="s">
        <v>13</v>
      </c>
      <c r="B51" s="4" t="n">
        <v>512</v>
      </c>
      <c r="C51" s="4" t="n">
        <v>100</v>
      </c>
      <c r="D51" s="1" t="str">
        <f aca="false">A51&amp;B51&amp;C51</f>
        <v>SDWN EDCA512100</v>
      </c>
      <c r="E51" s="1" t="n">
        <v>4.31476</v>
      </c>
      <c r="F51" s="1" t="n">
        <v>0.02913</v>
      </c>
      <c r="G51" s="1" t="n">
        <v>4.3217</v>
      </c>
      <c r="H51" s="1" t="n">
        <v>0.01241</v>
      </c>
      <c r="I51" s="1" t="n">
        <v>4.32563</v>
      </c>
      <c r="J51" s="1" t="n">
        <v>0.00689</v>
      </c>
      <c r="K51" s="1" t="n">
        <v>4.32762</v>
      </c>
      <c r="L51" s="1" t="n">
        <v>0.00514</v>
      </c>
    </row>
    <row r="52" customFormat="false" ht="12.8" hidden="false" customHeight="false" outlineLevel="0" collapsed="false">
      <c r="A52" s="4" t="s">
        <v>13</v>
      </c>
      <c r="B52" s="4" t="n">
        <v>1024</v>
      </c>
      <c r="C52" s="4" t="n">
        <v>10</v>
      </c>
      <c r="D52" s="1" t="str">
        <f aca="false">A52&amp;B52&amp;C52</f>
        <v>SDWN EDCA102410</v>
      </c>
      <c r="E52" s="1" t="n">
        <v>8.42833</v>
      </c>
      <c r="F52" s="1" t="n">
        <v>0.00379</v>
      </c>
      <c r="G52" s="1" t="n">
        <v>8.43</v>
      </c>
      <c r="H52" s="1" t="n">
        <v>0</v>
      </c>
      <c r="I52" s="1" t="n">
        <v>8.429</v>
      </c>
      <c r="J52" s="1" t="n">
        <v>0.00308</v>
      </c>
      <c r="K52" s="1" t="n">
        <v>8.43</v>
      </c>
      <c r="L52" s="1" t="n">
        <v>0</v>
      </c>
    </row>
    <row r="53" customFormat="false" ht="12.8" hidden="false" customHeight="false" outlineLevel="0" collapsed="false">
      <c r="A53" s="4" t="s">
        <v>13</v>
      </c>
      <c r="B53" s="4" t="n">
        <v>1024</v>
      </c>
      <c r="C53" s="4" t="n">
        <v>20</v>
      </c>
      <c r="D53" s="1" t="str">
        <f aca="false">A53&amp;B53&amp;C53</f>
        <v>SDWN EDCA102420</v>
      </c>
      <c r="E53" s="1" t="n">
        <v>8.428</v>
      </c>
      <c r="F53" s="1" t="n">
        <v>0.00404</v>
      </c>
      <c r="G53" s="1" t="n">
        <v>8.4284</v>
      </c>
      <c r="H53" s="1" t="n">
        <v>0.0037</v>
      </c>
      <c r="I53" s="1" t="n">
        <v>8.4294</v>
      </c>
      <c r="J53" s="1" t="n">
        <v>0.0024</v>
      </c>
      <c r="K53" s="1" t="n">
        <v>8.43</v>
      </c>
      <c r="L53" s="1" t="n">
        <v>0</v>
      </c>
    </row>
    <row r="54" customFormat="false" ht="12.8" hidden="false" customHeight="false" outlineLevel="0" collapsed="false">
      <c r="A54" s="4" t="s">
        <v>13</v>
      </c>
      <c r="B54" s="4" t="n">
        <v>1024</v>
      </c>
      <c r="C54" s="4" t="n">
        <v>30</v>
      </c>
      <c r="D54" s="1" t="str">
        <f aca="false">A54&amp;B54&amp;C54</f>
        <v>SDWN EDCA102430</v>
      </c>
      <c r="E54" s="1" t="n">
        <v>8.42671</v>
      </c>
      <c r="F54" s="1" t="n">
        <v>0.00548</v>
      </c>
      <c r="G54" s="1" t="n">
        <v>8.42725</v>
      </c>
      <c r="H54" s="1" t="n">
        <v>0.00527</v>
      </c>
      <c r="I54" s="1" t="n">
        <v>8.42943</v>
      </c>
      <c r="J54" s="1" t="n">
        <v>0.00234</v>
      </c>
      <c r="K54" s="1" t="n">
        <v>8.42884</v>
      </c>
      <c r="L54" s="1" t="n">
        <v>0.00323</v>
      </c>
    </row>
    <row r="55" customFormat="false" ht="12.8" hidden="false" customHeight="false" outlineLevel="0" collapsed="false">
      <c r="A55" s="4" t="s">
        <v>13</v>
      </c>
      <c r="B55" s="4" t="n">
        <v>1024</v>
      </c>
      <c r="C55" s="4" t="n">
        <v>40</v>
      </c>
      <c r="D55" s="1" t="str">
        <f aca="false">A55&amp;B55&amp;C55</f>
        <v>SDWN EDCA102440</v>
      </c>
      <c r="E55" s="1" t="n">
        <v>8.42408</v>
      </c>
      <c r="F55" s="1" t="n">
        <v>0.00784</v>
      </c>
      <c r="G55" s="1" t="n">
        <v>8.42758</v>
      </c>
      <c r="H55" s="1" t="n">
        <v>0.00608</v>
      </c>
      <c r="I55" s="1" t="n">
        <v>8.42806</v>
      </c>
      <c r="J55" s="1" t="n">
        <v>0.00397</v>
      </c>
      <c r="K55" s="1" t="n">
        <v>8.42929</v>
      </c>
      <c r="L55" s="1" t="n">
        <v>0.00357</v>
      </c>
    </row>
    <row r="56" customFormat="false" ht="12.8" hidden="false" customHeight="false" outlineLevel="0" collapsed="false">
      <c r="A56" s="4" t="s">
        <v>13</v>
      </c>
      <c r="B56" s="4" t="n">
        <v>1024</v>
      </c>
      <c r="C56" s="4" t="n">
        <v>50</v>
      </c>
      <c r="D56" s="1" t="str">
        <f aca="false">A56&amp;B56&amp;C56</f>
        <v>SDWN EDCA102450</v>
      </c>
      <c r="E56" s="1" t="n">
        <v>8.42223</v>
      </c>
      <c r="F56" s="1" t="n">
        <v>0.00959</v>
      </c>
      <c r="G56" s="1" t="n">
        <v>8.42581</v>
      </c>
      <c r="H56" s="1" t="n">
        <v>0.00845</v>
      </c>
      <c r="I56" s="1" t="n">
        <v>8.42825</v>
      </c>
      <c r="J56" s="1" t="n">
        <v>0.00382</v>
      </c>
      <c r="K56" s="1" t="n">
        <v>8.4285</v>
      </c>
      <c r="L56" s="1" t="n">
        <v>0.00423</v>
      </c>
    </row>
    <row r="57" customFormat="false" ht="12.8" hidden="false" customHeight="false" outlineLevel="0" collapsed="false">
      <c r="A57" s="4" t="s">
        <v>13</v>
      </c>
      <c r="B57" s="4" t="n">
        <v>1024</v>
      </c>
      <c r="C57" s="4" t="n">
        <v>60</v>
      </c>
      <c r="D57" s="1" t="str">
        <f aca="false">A57&amp;B57&amp;C57</f>
        <v>SDWN EDCA102460</v>
      </c>
      <c r="E57" s="1" t="n">
        <v>8.41886</v>
      </c>
      <c r="F57" s="1" t="n">
        <v>0.01239</v>
      </c>
      <c r="G57" s="1" t="n">
        <v>8.4242</v>
      </c>
      <c r="H57" s="1" t="n">
        <v>0.00964</v>
      </c>
      <c r="I57" s="1" t="n">
        <v>8.42667</v>
      </c>
      <c r="J57" s="1" t="n">
        <v>0.00711</v>
      </c>
      <c r="K57" s="1" t="n">
        <v>8.42725</v>
      </c>
      <c r="L57" s="1" t="n">
        <v>0.00666</v>
      </c>
    </row>
    <row r="58" customFormat="false" ht="12.8" hidden="false" customHeight="false" outlineLevel="0" collapsed="false">
      <c r="A58" s="4" t="s">
        <v>13</v>
      </c>
      <c r="B58" s="4" t="n">
        <v>1024</v>
      </c>
      <c r="C58" s="4" t="n">
        <v>70</v>
      </c>
      <c r="D58" s="1" t="str">
        <f aca="false">A58&amp;B58&amp;C58</f>
        <v>SDWN EDCA102470</v>
      </c>
      <c r="E58" s="1" t="n">
        <v>8.4186</v>
      </c>
      <c r="F58" s="1" t="n">
        <v>0.01262</v>
      </c>
      <c r="G58" s="1" t="n">
        <v>8.42363</v>
      </c>
      <c r="H58" s="1" t="n">
        <v>0.01021</v>
      </c>
      <c r="I58" s="1" t="n">
        <v>8.42605</v>
      </c>
      <c r="J58" s="1" t="n">
        <v>0.00799</v>
      </c>
      <c r="K58" s="1" t="n">
        <v>8.42851</v>
      </c>
      <c r="L58" s="1" t="n">
        <v>0.00446</v>
      </c>
    </row>
    <row r="59" customFormat="false" ht="12.8" hidden="false" customHeight="false" outlineLevel="0" collapsed="false">
      <c r="A59" s="4" t="s">
        <v>13</v>
      </c>
      <c r="B59" s="4" t="n">
        <v>1024</v>
      </c>
      <c r="C59" s="4" t="n">
        <v>80</v>
      </c>
      <c r="D59" s="1" t="str">
        <f aca="false">A59&amp;B59&amp;C59</f>
        <v>SDWN EDCA102480</v>
      </c>
      <c r="E59" s="1" t="n">
        <v>8.41545</v>
      </c>
      <c r="F59" s="1" t="n">
        <v>0.01452</v>
      </c>
      <c r="G59" s="1" t="n">
        <v>8.42255</v>
      </c>
      <c r="H59" s="1" t="n">
        <v>0.01103</v>
      </c>
      <c r="I59" s="1" t="n">
        <v>8.42422</v>
      </c>
      <c r="J59" s="1" t="n">
        <v>0.00971</v>
      </c>
      <c r="K59" s="1" t="n">
        <v>8.42734</v>
      </c>
      <c r="L59" s="1" t="n">
        <v>0.00707</v>
      </c>
    </row>
    <row r="60" customFormat="false" ht="12.8" hidden="false" customHeight="false" outlineLevel="0" collapsed="false">
      <c r="A60" s="4" t="s">
        <v>13</v>
      </c>
      <c r="B60" s="4" t="n">
        <v>1024</v>
      </c>
      <c r="C60" s="4" t="n">
        <v>90</v>
      </c>
      <c r="D60" s="1" t="str">
        <f aca="false">A60&amp;B60&amp;C60</f>
        <v>SDWN EDCA102490</v>
      </c>
      <c r="E60" s="1" t="n">
        <v>8.4096</v>
      </c>
      <c r="F60" s="1" t="n">
        <v>0.03349</v>
      </c>
      <c r="G60" s="1" t="n">
        <v>8.41817</v>
      </c>
      <c r="H60" s="1" t="n">
        <v>0.02425</v>
      </c>
      <c r="I60" s="1" t="n">
        <v>8.42523</v>
      </c>
      <c r="J60" s="1" t="n">
        <v>0.00846</v>
      </c>
      <c r="K60" s="1" t="n">
        <v>8.42712</v>
      </c>
      <c r="L60" s="1" t="n">
        <v>0.00732</v>
      </c>
    </row>
    <row r="61" customFormat="false" ht="12.8" hidden="false" customHeight="false" outlineLevel="0" collapsed="false">
      <c r="A61" s="4" t="s">
        <v>13</v>
      </c>
      <c r="B61" s="4" t="n">
        <v>1024</v>
      </c>
      <c r="C61" s="4" t="n">
        <v>100</v>
      </c>
      <c r="D61" s="1" t="str">
        <f aca="false">A61&amp;B61&amp;C61</f>
        <v>SDWN EDCA1024100</v>
      </c>
      <c r="E61" s="1" t="n">
        <v>8.3952</v>
      </c>
      <c r="F61" s="1" t="n">
        <v>0.08406</v>
      </c>
      <c r="G61" s="1" t="n">
        <v>8.4068</v>
      </c>
      <c r="H61" s="1" t="n">
        <v>0.10648</v>
      </c>
      <c r="I61" s="1" t="n">
        <v>8.42432</v>
      </c>
      <c r="J61" s="1" t="n">
        <v>0.01009</v>
      </c>
      <c r="K61" s="1" t="n">
        <v>8.42681</v>
      </c>
      <c r="L61" s="1" t="n">
        <v>0.00731</v>
      </c>
    </row>
    <row r="62" customFormat="false" ht="12.8" hidden="false" customHeight="false" outlineLevel="0" collapsed="false">
      <c r="A62" s="4" t="s">
        <v>14</v>
      </c>
      <c r="B62" s="4" t="n">
        <v>256</v>
      </c>
      <c r="C62" s="4" t="n">
        <v>10</v>
      </c>
      <c r="D62" s="1" t="str">
        <f aca="false">A62&amp;B62&amp;C62</f>
        <v>SDWN MOD25610</v>
      </c>
      <c r="E62" s="0" t="n">
        <v>2.27833</v>
      </c>
      <c r="F62" s="0" t="n">
        <v>0.00379</v>
      </c>
      <c r="G62" s="0" t="n">
        <v>2.28</v>
      </c>
      <c r="H62" s="0" t="n">
        <v>0</v>
      </c>
      <c r="I62" s="0" t="n">
        <v>2.279</v>
      </c>
      <c r="J62" s="0" t="n">
        <v>0.00308</v>
      </c>
      <c r="K62" s="0" t="n">
        <v>2.28</v>
      </c>
      <c r="L62" s="0" t="n">
        <v>0</v>
      </c>
    </row>
    <row r="63" customFormat="false" ht="12.8" hidden="false" customHeight="false" outlineLevel="0" collapsed="false">
      <c r="A63" s="4" t="s">
        <v>14</v>
      </c>
      <c r="B63" s="4" t="n">
        <v>256</v>
      </c>
      <c r="C63" s="4" t="n">
        <v>20</v>
      </c>
      <c r="D63" s="1" t="str">
        <f aca="false">A63&amp;B63&amp;C63</f>
        <v>SDWN MOD25620</v>
      </c>
      <c r="E63" s="0" t="n">
        <v>2.2782</v>
      </c>
      <c r="F63" s="0" t="n">
        <v>0.00388</v>
      </c>
      <c r="G63" s="0" t="n">
        <v>2.2782</v>
      </c>
      <c r="H63" s="0" t="n">
        <v>0.00388</v>
      </c>
      <c r="I63" s="0" t="n">
        <v>2.2794</v>
      </c>
      <c r="J63" s="0" t="n">
        <v>0.0024</v>
      </c>
      <c r="K63" s="0" t="n">
        <v>2.28</v>
      </c>
      <c r="L63" s="0" t="n">
        <v>0</v>
      </c>
    </row>
    <row r="64" customFormat="false" ht="12.8" hidden="false" customHeight="false" outlineLevel="0" collapsed="false">
      <c r="A64" s="4" t="s">
        <v>14</v>
      </c>
      <c r="B64" s="4" t="n">
        <v>256</v>
      </c>
      <c r="C64" s="4" t="n">
        <v>30</v>
      </c>
      <c r="D64" s="1" t="str">
        <f aca="false">A64&amp;B64&amp;C64</f>
        <v>SDWN MOD25630</v>
      </c>
      <c r="E64" s="0" t="n">
        <v>2.27675</v>
      </c>
      <c r="F64" s="0" t="n">
        <v>0.00471</v>
      </c>
      <c r="G64" s="0" t="n">
        <v>2.278</v>
      </c>
      <c r="H64" s="0" t="n">
        <v>0.00403</v>
      </c>
      <c r="I64" s="0" t="n">
        <v>2.27943</v>
      </c>
      <c r="J64" s="0" t="n">
        <v>0.00234</v>
      </c>
      <c r="K64" s="0" t="n">
        <v>2.27957</v>
      </c>
      <c r="L64" s="0" t="n">
        <v>0.00204</v>
      </c>
    </row>
    <row r="65" customFormat="false" ht="12.8" hidden="false" customHeight="false" outlineLevel="0" collapsed="false">
      <c r="A65" s="4" t="s">
        <v>14</v>
      </c>
      <c r="B65" s="4" t="n">
        <v>256</v>
      </c>
      <c r="C65" s="4" t="n">
        <v>40</v>
      </c>
      <c r="D65" s="1" t="str">
        <f aca="false">A65&amp;B65&amp;C65</f>
        <v>SDWN MOD25640</v>
      </c>
      <c r="E65" s="0" t="n">
        <v>2.2751</v>
      </c>
      <c r="F65" s="0" t="n">
        <v>0.00502</v>
      </c>
      <c r="G65" s="0" t="n">
        <v>2.27919</v>
      </c>
      <c r="H65" s="0" t="n">
        <v>0.00274</v>
      </c>
      <c r="I65" s="0" t="n">
        <v>2.27889</v>
      </c>
      <c r="J65" s="0" t="n">
        <v>0.00316</v>
      </c>
      <c r="K65" s="0" t="n">
        <v>2.2799</v>
      </c>
      <c r="L65" s="0" t="n">
        <v>0.00101</v>
      </c>
    </row>
    <row r="66" customFormat="false" ht="12.8" hidden="false" customHeight="false" outlineLevel="0" collapsed="false">
      <c r="A66" s="4" t="s">
        <v>14</v>
      </c>
      <c r="B66" s="4" t="n">
        <v>256</v>
      </c>
      <c r="C66" s="4" t="n">
        <v>50</v>
      </c>
      <c r="D66" s="1" t="str">
        <f aca="false">A66&amp;B66&amp;C66</f>
        <v>SDWN MOD25650</v>
      </c>
      <c r="E66" s="0" t="n">
        <v>2.27488</v>
      </c>
      <c r="F66" s="0" t="n">
        <v>0.00502</v>
      </c>
      <c r="G66" s="0" t="n">
        <v>2.27862</v>
      </c>
      <c r="H66" s="0" t="n">
        <v>0.00347</v>
      </c>
      <c r="I66" s="0" t="n">
        <v>2.27917</v>
      </c>
      <c r="J66" s="0" t="n">
        <v>0.00278</v>
      </c>
      <c r="K66" s="0" t="n">
        <v>2.27992</v>
      </c>
      <c r="L66" s="0" t="n">
        <v>0.00091</v>
      </c>
    </row>
    <row r="67" customFormat="false" ht="12.8" hidden="false" customHeight="false" outlineLevel="0" collapsed="false">
      <c r="A67" s="4" t="s">
        <v>14</v>
      </c>
      <c r="B67" s="4" t="n">
        <v>256</v>
      </c>
      <c r="C67" s="4" t="n">
        <v>60</v>
      </c>
      <c r="D67" s="1" t="str">
        <f aca="false">A67&amp;B67&amp;C67</f>
        <v>SDWN MOD25660</v>
      </c>
      <c r="E67" s="0" t="n">
        <v>2.27443</v>
      </c>
      <c r="F67" s="0" t="n">
        <v>0.00498</v>
      </c>
      <c r="G67" s="0" t="n">
        <v>2.27772</v>
      </c>
      <c r="H67" s="0" t="n">
        <v>0.00421</v>
      </c>
      <c r="I67" s="0" t="n">
        <v>2.27973</v>
      </c>
      <c r="J67" s="0" t="n">
        <v>0.00162</v>
      </c>
      <c r="K67" s="0" t="n">
        <v>2.28</v>
      </c>
      <c r="L67" s="0" t="n">
        <v>0</v>
      </c>
    </row>
    <row r="68" customFormat="false" ht="12.8" hidden="false" customHeight="false" outlineLevel="0" collapsed="false">
      <c r="A68" s="4" t="s">
        <v>14</v>
      </c>
      <c r="B68" s="4" t="n">
        <v>256</v>
      </c>
      <c r="C68" s="4" t="n">
        <v>70</v>
      </c>
      <c r="D68" s="1" t="str">
        <f aca="false">A68&amp;B68&amp;C68</f>
        <v>SDWN MOD25670</v>
      </c>
      <c r="E68" s="0" t="n">
        <v>2.2748</v>
      </c>
      <c r="F68" s="0" t="n">
        <v>0.00501</v>
      </c>
      <c r="G68" s="0" t="n">
        <v>2.27832</v>
      </c>
      <c r="H68" s="0" t="n">
        <v>0.00375</v>
      </c>
      <c r="I68" s="0" t="n">
        <v>2.28</v>
      </c>
      <c r="J68" s="0" t="n">
        <v>0</v>
      </c>
      <c r="K68" s="0" t="n">
        <v>2.28</v>
      </c>
      <c r="L68" s="0" t="n">
        <v>0</v>
      </c>
    </row>
    <row r="69" customFormat="false" ht="12.8" hidden="false" customHeight="false" outlineLevel="0" collapsed="false">
      <c r="A69" s="4" t="s">
        <v>14</v>
      </c>
      <c r="B69" s="4" t="n">
        <v>256</v>
      </c>
      <c r="C69" s="4" t="n">
        <v>80</v>
      </c>
      <c r="D69" s="1" t="str">
        <f aca="false">A69&amp;B69&amp;C69</f>
        <v>SDWN MOD25680</v>
      </c>
      <c r="E69" s="0" t="n">
        <v>2.2745</v>
      </c>
      <c r="F69" s="0" t="n">
        <v>0.00499</v>
      </c>
      <c r="G69" s="0" t="n">
        <v>2.27869</v>
      </c>
      <c r="H69" s="0" t="n">
        <v>0.00339</v>
      </c>
      <c r="I69" s="0" t="n">
        <v>2.27975</v>
      </c>
      <c r="J69" s="0" t="n">
        <v>0.00157</v>
      </c>
      <c r="K69" s="0" t="n">
        <v>2.28</v>
      </c>
      <c r="L69" s="0" t="n">
        <v>0</v>
      </c>
    </row>
    <row r="70" customFormat="false" ht="12.8" hidden="false" customHeight="false" outlineLevel="0" collapsed="false">
      <c r="A70" s="4" t="s">
        <v>14</v>
      </c>
      <c r="B70" s="4" t="n">
        <v>256</v>
      </c>
      <c r="C70" s="4" t="n">
        <v>90</v>
      </c>
      <c r="D70" s="1" t="str">
        <f aca="false">A70&amp;B70&amp;C70</f>
        <v>SDWN MOD25690</v>
      </c>
      <c r="E70" s="0" t="n">
        <v>2.27469</v>
      </c>
      <c r="F70" s="0" t="n">
        <v>0.005</v>
      </c>
      <c r="G70" s="0" t="n">
        <v>2.27857</v>
      </c>
      <c r="H70" s="0" t="n">
        <v>0.00351</v>
      </c>
      <c r="I70" s="0" t="n">
        <v>2.27945</v>
      </c>
      <c r="J70" s="0" t="n">
        <v>0.00228</v>
      </c>
      <c r="K70" s="0" t="n">
        <v>2.27982</v>
      </c>
      <c r="L70" s="0" t="n">
        <v>0.00135</v>
      </c>
    </row>
    <row r="71" customFormat="false" ht="12.8" hidden="false" customHeight="false" outlineLevel="0" collapsed="false">
      <c r="A71" s="4" t="s">
        <v>14</v>
      </c>
      <c r="B71" s="4" t="n">
        <v>256</v>
      </c>
      <c r="C71" s="4" t="n">
        <v>100</v>
      </c>
      <c r="D71" s="1" t="str">
        <f aca="false">A71&amp;B71&amp;C71</f>
        <v>SDWN MOD256100</v>
      </c>
      <c r="E71" s="0" t="n">
        <v>2.2744</v>
      </c>
      <c r="F71" s="0" t="n">
        <v>0.00497</v>
      </c>
      <c r="G71" s="0" t="n">
        <v>2.2788</v>
      </c>
      <c r="H71" s="0" t="n">
        <v>0.00326</v>
      </c>
      <c r="I71" s="0" t="n">
        <v>2.27984</v>
      </c>
      <c r="J71" s="0" t="n">
        <v>0.00126</v>
      </c>
      <c r="K71" s="0" t="n">
        <v>2.28</v>
      </c>
      <c r="L71" s="0" t="n">
        <v>0</v>
      </c>
    </row>
    <row r="72" customFormat="false" ht="12.8" hidden="false" customHeight="false" outlineLevel="0" collapsed="false">
      <c r="A72" s="4" t="s">
        <v>14</v>
      </c>
      <c r="B72" s="4" t="n">
        <v>512</v>
      </c>
      <c r="C72" s="4" t="n">
        <v>10</v>
      </c>
      <c r="D72" s="1" t="str">
        <f aca="false">A72&amp;B72&amp;C72</f>
        <v>SDWN MOD51210</v>
      </c>
      <c r="E72" s="0" t="n">
        <v>4.328</v>
      </c>
      <c r="F72" s="0" t="n">
        <v>0.00484</v>
      </c>
      <c r="G72" s="0" t="n">
        <v>4.33</v>
      </c>
      <c r="H72" s="0" t="n">
        <v>0</v>
      </c>
      <c r="I72" s="0" t="n">
        <v>4.329</v>
      </c>
      <c r="J72" s="0" t="n">
        <v>0.00308</v>
      </c>
      <c r="K72" s="0" t="n">
        <v>4.33</v>
      </c>
      <c r="L72" s="0" t="n">
        <v>0</v>
      </c>
    </row>
    <row r="73" customFormat="false" ht="12.8" hidden="false" customHeight="false" outlineLevel="0" collapsed="false">
      <c r="A73" s="4" t="s">
        <v>14</v>
      </c>
      <c r="B73" s="4" t="n">
        <v>512</v>
      </c>
      <c r="C73" s="4" t="n">
        <v>20</v>
      </c>
      <c r="D73" s="1" t="str">
        <f aca="false">A73&amp;B73&amp;C73</f>
        <v>SDWN MOD51220</v>
      </c>
      <c r="E73" s="0" t="n">
        <v>4.3282</v>
      </c>
      <c r="F73" s="0" t="n">
        <v>0.00388</v>
      </c>
      <c r="G73" s="0" t="n">
        <v>4.3282</v>
      </c>
      <c r="H73" s="0" t="n">
        <v>0.00388</v>
      </c>
      <c r="I73" s="0" t="n">
        <v>4.3294</v>
      </c>
      <c r="J73" s="0" t="n">
        <v>0.0024</v>
      </c>
      <c r="K73" s="0" t="n">
        <v>4.33</v>
      </c>
      <c r="L73" s="0" t="n">
        <v>0</v>
      </c>
    </row>
    <row r="74" customFormat="false" ht="12.8" hidden="false" customHeight="false" outlineLevel="0" collapsed="false">
      <c r="A74" s="4" t="s">
        <v>14</v>
      </c>
      <c r="B74" s="4" t="n">
        <v>512</v>
      </c>
      <c r="C74" s="4" t="n">
        <v>30</v>
      </c>
      <c r="D74" s="1" t="str">
        <f aca="false">A74&amp;B74&amp;C74</f>
        <v>SDWN MOD51230</v>
      </c>
      <c r="E74" s="0" t="n">
        <v>4.327</v>
      </c>
      <c r="F74" s="0" t="n">
        <v>0.00461</v>
      </c>
      <c r="G74" s="0" t="n">
        <v>4.32787</v>
      </c>
      <c r="H74" s="0" t="n">
        <v>0.00412</v>
      </c>
      <c r="I74" s="0" t="n">
        <v>4.32929</v>
      </c>
      <c r="J74" s="0" t="n">
        <v>0.00259</v>
      </c>
      <c r="K74" s="0" t="n">
        <v>4.32957</v>
      </c>
      <c r="L74" s="0" t="n">
        <v>0.00204</v>
      </c>
    </row>
    <row r="75" customFormat="false" ht="12.8" hidden="false" customHeight="false" outlineLevel="0" collapsed="false">
      <c r="A75" s="4" t="s">
        <v>14</v>
      </c>
      <c r="B75" s="4" t="n">
        <v>512</v>
      </c>
      <c r="C75" s="4" t="n">
        <v>40</v>
      </c>
      <c r="D75" s="1" t="str">
        <f aca="false">A75&amp;B75&amp;C75</f>
        <v>SDWN MOD51240</v>
      </c>
      <c r="E75" s="0" t="n">
        <v>4.325</v>
      </c>
      <c r="F75" s="0" t="n">
        <v>0.00503</v>
      </c>
      <c r="G75" s="0" t="n">
        <v>4.32879</v>
      </c>
      <c r="H75" s="0" t="n">
        <v>0.00328</v>
      </c>
      <c r="I75" s="0" t="n">
        <v>4.32909</v>
      </c>
      <c r="J75" s="0" t="n">
        <v>0.00289</v>
      </c>
      <c r="K75" s="0" t="n">
        <v>4.3299</v>
      </c>
      <c r="L75" s="0" t="n">
        <v>0.00101</v>
      </c>
    </row>
    <row r="76" customFormat="false" ht="12.8" hidden="false" customHeight="false" outlineLevel="0" collapsed="false">
      <c r="A76" s="4" t="s">
        <v>14</v>
      </c>
      <c r="B76" s="4" t="n">
        <v>512</v>
      </c>
      <c r="C76" s="4" t="n">
        <v>50</v>
      </c>
      <c r="D76" s="1" t="str">
        <f aca="false">A76&amp;B76&amp;C76</f>
        <v>SDWN MOD51250</v>
      </c>
      <c r="E76" s="0" t="n">
        <v>4.32469</v>
      </c>
      <c r="F76" s="0" t="n">
        <v>0.00516</v>
      </c>
      <c r="G76" s="0" t="n">
        <v>4.32853</v>
      </c>
      <c r="H76" s="0" t="n">
        <v>0.00356</v>
      </c>
      <c r="I76" s="0" t="n">
        <v>4.329</v>
      </c>
      <c r="J76" s="0" t="n">
        <v>0.00301</v>
      </c>
      <c r="K76" s="0" t="n">
        <v>4.33</v>
      </c>
      <c r="L76" s="0" t="n">
        <v>0</v>
      </c>
    </row>
    <row r="77" customFormat="false" ht="12.8" hidden="false" customHeight="false" outlineLevel="0" collapsed="false">
      <c r="A77" s="4" t="s">
        <v>14</v>
      </c>
      <c r="B77" s="4" t="n">
        <v>512</v>
      </c>
      <c r="C77" s="4" t="n">
        <v>60</v>
      </c>
      <c r="D77" s="1" t="str">
        <f aca="false">A77&amp;B77&amp;C77</f>
        <v>SDWN MOD51260</v>
      </c>
      <c r="E77" s="0" t="n">
        <v>4.32436</v>
      </c>
      <c r="F77" s="0" t="n">
        <v>0.00511</v>
      </c>
      <c r="G77" s="0" t="n">
        <v>4.32785</v>
      </c>
      <c r="H77" s="0" t="n">
        <v>0.00412</v>
      </c>
      <c r="I77" s="0" t="n">
        <v>4.3298</v>
      </c>
      <c r="J77" s="0" t="n">
        <v>0.0014</v>
      </c>
      <c r="K77" s="0" t="n">
        <v>4.32993</v>
      </c>
      <c r="L77" s="0" t="n">
        <v>0.00082</v>
      </c>
    </row>
    <row r="78" customFormat="false" ht="12.8" hidden="false" customHeight="false" outlineLevel="0" collapsed="false">
      <c r="A78" s="4" t="s">
        <v>14</v>
      </c>
      <c r="B78" s="4" t="n">
        <v>512</v>
      </c>
      <c r="C78" s="4" t="n">
        <v>70</v>
      </c>
      <c r="D78" s="1" t="str">
        <f aca="false">A78&amp;B78&amp;C78</f>
        <v>SDWN MOD51270</v>
      </c>
      <c r="E78" s="0" t="n">
        <v>4.3245</v>
      </c>
      <c r="F78" s="0" t="n">
        <v>0.00521</v>
      </c>
      <c r="G78" s="0" t="n">
        <v>4.32843</v>
      </c>
      <c r="H78" s="0" t="n">
        <v>0.00365</v>
      </c>
      <c r="I78" s="0" t="n">
        <v>4.33</v>
      </c>
      <c r="J78" s="0" t="n">
        <v>0</v>
      </c>
      <c r="K78" s="0" t="n">
        <v>4.33</v>
      </c>
      <c r="L78" s="0" t="n">
        <v>0</v>
      </c>
    </row>
    <row r="79" customFormat="false" ht="12.8" hidden="false" customHeight="false" outlineLevel="0" collapsed="false">
      <c r="A79" s="4" t="s">
        <v>14</v>
      </c>
      <c r="B79" s="4" t="n">
        <v>512</v>
      </c>
      <c r="C79" s="4" t="n">
        <v>80</v>
      </c>
      <c r="D79" s="1" t="str">
        <f aca="false">A79&amp;B79&amp;C79</f>
        <v>SDWN MOD51280</v>
      </c>
      <c r="E79" s="0" t="n">
        <v>4.32425</v>
      </c>
      <c r="F79" s="0" t="n">
        <v>0.00544</v>
      </c>
      <c r="G79" s="0" t="n">
        <v>4.32869</v>
      </c>
      <c r="H79" s="0" t="n">
        <v>0.00339</v>
      </c>
      <c r="I79" s="0" t="n">
        <v>4.3297</v>
      </c>
      <c r="J79" s="0" t="n">
        <v>0.00172</v>
      </c>
      <c r="K79" s="0" t="n">
        <v>4.32995</v>
      </c>
      <c r="L79" s="0" t="n">
        <v>0.00071</v>
      </c>
    </row>
    <row r="80" customFormat="false" ht="12.8" hidden="false" customHeight="false" outlineLevel="0" collapsed="false">
      <c r="A80" s="4" t="s">
        <v>14</v>
      </c>
      <c r="B80" s="4" t="n">
        <v>512</v>
      </c>
      <c r="C80" s="4" t="n">
        <v>90</v>
      </c>
      <c r="D80" s="1" t="str">
        <f aca="false">A80&amp;B80&amp;C80</f>
        <v>SDWN MOD51290</v>
      </c>
      <c r="E80" s="0" t="n">
        <v>4.32406</v>
      </c>
      <c r="F80" s="0" t="n">
        <v>0.00589</v>
      </c>
      <c r="G80" s="0" t="n">
        <v>4.32874</v>
      </c>
      <c r="H80" s="0" t="n">
        <v>0.00333</v>
      </c>
      <c r="I80" s="0" t="n">
        <v>4.32955</v>
      </c>
      <c r="J80" s="0" t="n">
        <v>0.00209</v>
      </c>
      <c r="K80" s="0" t="n">
        <v>4.33</v>
      </c>
      <c r="L80" s="0" t="n">
        <v>0</v>
      </c>
    </row>
    <row r="81" customFormat="false" ht="12.8" hidden="false" customHeight="false" outlineLevel="0" collapsed="false">
      <c r="A81" s="4" t="s">
        <v>14</v>
      </c>
      <c r="B81" s="4" t="n">
        <v>512</v>
      </c>
      <c r="C81" s="4" t="n">
        <v>100</v>
      </c>
      <c r="D81" s="1" t="str">
        <f aca="false">A81&amp;B81&amp;C81</f>
        <v>SDWN MOD512100</v>
      </c>
      <c r="E81" s="0" t="n">
        <v>4.32419</v>
      </c>
      <c r="F81" s="0" t="n">
        <v>0.00578</v>
      </c>
      <c r="G81" s="0" t="n">
        <v>4.32863</v>
      </c>
      <c r="H81" s="0" t="n">
        <v>0.00345</v>
      </c>
      <c r="I81" s="0" t="n">
        <v>4.32992</v>
      </c>
      <c r="J81" s="0" t="n">
        <v>0.00089</v>
      </c>
      <c r="K81" s="0" t="n">
        <v>4.33</v>
      </c>
      <c r="L81" s="0" t="n">
        <v>0</v>
      </c>
    </row>
    <row r="82" customFormat="false" ht="12.8" hidden="false" customHeight="false" outlineLevel="0" collapsed="false">
      <c r="A82" s="4" t="s">
        <v>14</v>
      </c>
      <c r="B82" s="4" t="n">
        <v>1024</v>
      </c>
      <c r="C82" s="4" t="n">
        <v>10</v>
      </c>
      <c r="D82" s="1" t="str">
        <f aca="false">A82&amp;B82&amp;C82</f>
        <v>SDWN MOD102410</v>
      </c>
      <c r="E82" s="0" t="n">
        <v>8.42833</v>
      </c>
      <c r="F82" s="0" t="n">
        <v>0.00379</v>
      </c>
      <c r="G82" s="0" t="n">
        <v>8.43</v>
      </c>
      <c r="H82" s="0" t="n">
        <v>0</v>
      </c>
      <c r="I82" s="0" t="n">
        <v>8.429</v>
      </c>
      <c r="J82" s="0" t="n">
        <v>0.00308</v>
      </c>
      <c r="K82" s="0" t="n">
        <v>8.43</v>
      </c>
      <c r="L82" s="0" t="n">
        <v>0</v>
      </c>
    </row>
    <row r="83" customFormat="false" ht="12.8" hidden="false" customHeight="false" outlineLevel="0" collapsed="false">
      <c r="A83" s="4" t="s">
        <v>14</v>
      </c>
      <c r="B83" s="4" t="n">
        <v>1024</v>
      </c>
      <c r="C83" s="4" t="n">
        <v>20</v>
      </c>
      <c r="D83" s="1" t="str">
        <f aca="false">A83&amp;B83&amp;C83</f>
        <v>SDWN MOD102420</v>
      </c>
      <c r="E83" s="0" t="n">
        <v>8.4282</v>
      </c>
      <c r="F83" s="0" t="n">
        <v>0.00388</v>
      </c>
      <c r="G83" s="0" t="n">
        <v>8.4284</v>
      </c>
      <c r="H83" s="0" t="n">
        <v>0.0037</v>
      </c>
      <c r="I83" s="0" t="n">
        <v>8.4296</v>
      </c>
      <c r="J83" s="0" t="n">
        <v>0.00198</v>
      </c>
      <c r="K83" s="0" t="n">
        <v>8.43</v>
      </c>
      <c r="L83" s="0" t="n">
        <v>0</v>
      </c>
    </row>
    <row r="84" customFormat="false" ht="12.8" hidden="false" customHeight="false" outlineLevel="0" collapsed="false">
      <c r="A84" s="4" t="s">
        <v>14</v>
      </c>
      <c r="B84" s="4" t="n">
        <v>1024</v>
      </c>
      <c r="C84" s="4" t="n">
        <v>30</v>
      </c>
      <c r="D84" s="1" t="str">
        <f aca="false">A84&amp;B84&amp;C84</f>
        <v>SDWN MOD102430</v>
      </c>
      <c r="E84" s="0" t="n">
        <v>8.42712</v>
      </c>
      <c r="F84" s="0" t="n">
        <v>0.00455</v>
      </c>
      <c r="G84" s="0" t="n">
        <v>8.42788</v>
      </c>
      <c r="H84" s="0" t="n">
        <v>0.00412</v>
      </c>
      <c r="I84" s="0" t="n">
        <v>8.42957</v>
      </c>
      <c r="J84" s="0" t="n">
        <v>0.00204</v>
      </c>
      <c r="K84" s="0" t="n">
        <v>8.42943</v>
      </c>
      <c r="L84" s="0" t="n">
        <v>0.00234</v>
      </c>
    </row>
    <row r="85" customFormat="false" ht="12.8" hidden="false" customHeight="false" outlineLevel="0" collapsed="false">
      <c r="A85" s="4" t="s">
        <v>14</v>
      </c>
      <c r="B85" s="4" t="n">
        <v>1024</v>
      </c>
      <c r="C85" s="4" t="n">
        <v>40</v>
      </c>
      <c r="D85" s="1" t="str">
        <f aca="false">A85&amp;B85&amp;C85</f>
        <v>SDWN MOD102440</v>
      </c>
      <c r="E85" s="0" t="n">
        <v>8.4252</v>
      </c>
      <c r="F85" s="0" t="n">
        <v>0.00502</v>
      </c>
      <c r="G85" s="0" t="n">
        <v>8.42869</v>
      </c>
      <c r="H85" s="0" t="n">
        <v>0.00339</v>
      </c>
      <c r="I85" s="0" t="n">
        <v>8.42939</v>
      </c>
      <c r="J85" s="0" t="n">
        <v>0.0024</v>
      </c>
      <c r="K85" s="0" t="n">
        <v>8.4298</v>
      </c>
      <c r="L85" s="0" t="n">
        <v>0.00142</v>
      </c>
    </row>
    <row r="86" customFormat="false" ht="12.8" hidden="false" customHeight="false" outlineLevel="0" collapsed="false">
      <c r="A86" s="4" t="s">
        <v>14</v>
      </c>
      <c r="B86" s="4" t="n">
        <v>1024</v>
      </c>
      <c r="C86" s="4" t="n">
        <v>50</v>
      </c>
      <c r="D86" s="1" t="str">
        <f aca="false">A86&amp;B86&amp;C86</f>
        <v>SDWN MOD102450</v>
      </c>
      <c r="E86" s="0" t="n">
        <v>8.42269</v>
      </c>
      <c r="F86" s="0" t="n">
        <v>0.01812</v>
      </c>
      <c r="G86" s="0" t="n">
        <v>8.42884</v>
      </c>
      <c r="H86" s="0" t="n">
        <v>0.00322</v>
      </c>
      <c r="I86" s="0" t="n">
        <v>8.42917</v>
      </c>
      <c r="J86" s="0" t="n">
        <v>0.00278</v>
      </c>
      <c r="K86" s="0" t="n">
        <v>8.43</v>
      </c>
      <c r="L86" s="0" t="n">
        <v>0</v>
      </c>
    </row>
    <row r="87" customFormat="false" ht="12.8" hidden="false" customHeight="false" outlineLevel="0" collapsed="false">
      <c r="A87" s="4" t="s">
        <v>14</v>
      </c>
      <c r="B87" s="4" t="n">
        <v>1024</v>
      </c>
      <c r="C87" s="4" t="n">
        <v>60</v>
      </c>
      <c r="D87" s="1" t="str">
        <f aca="false">A87&amp;B87&amp;C87</f>
        <v>SDWN MOD102460</v>
      </c>
      <c r="E87" s="0" t="n">
        <v>8.42426</v>
      </c>
      <c r="F87" s="0" t="n">
        <v>0.00573</v>
      </c>
      <c r="G87" s="0" t="n">
        <v>8.42767</v>
      </c>
      <c r="H87" s="0" t="n">
        <v>0.00424</v>
      </c>
      <c r="I87" s="0" t="n">
        <v>8.42987</v>
      </c>
      <c r="J87" s="0" t="n">
        <v>0.00115</v>
      </c>
      <c r="K87" s="0" t="n">
        <v>8.43</v>
      </c>
      <c r="L87" s="0" t="n">
        <v>0</v>
      </c>
    </row>
    <row r="88" customFormat="false" ht="12.8" hidden="false" customHeight="false" outlineLevel="0" collapsed="false">
      <c r="A88" s="4" t="s">
        <v>14</v>
      </c>
      <c r="B88" s="4" t="n">
        <v>1024</v>
      </c>
      <c r="C88" s="4" t="n">
        <v>70</v>
      </c>
      <c r="D88" s="1" t="str">
        <f aca="false">A88&amp;B88&amp;C88</f>
        <v>SDWN MOD102470</v>
      </c>
      <c r="E88" s="0" t="n">
        <v>8.42428</v>
      </c>
      <c r="F88" s="0" t="n">
        <v>0.00669</v>
      </c>
      <c r="G88" s="0" t="n">
        <v>8.42816</v>
      </c>
      <c r="H88" s="0" t="n">
        <v>0.00389</v>
      </c>
      <c r="I88" s="0" t="n">
        <v>8.42982</v>
      </c>
      <c r="J88" s="0" t="n">
        <v>0.00132</v>
      </c>
      <c r="K88" s="0" t="n">
        <v>8.42994</v>
      </c>
      <c r="L88" s="0" t="n">
        <v>0.00077</v>
      </c>
    </row>
    <row r="89" customFormat="false" ht="12.8" hidden="false" customHeight="false" outlineLevel="0" collapsed="false">
      <c r="A89" s="4" t="s">
        <v>14</v>
      </c>
      <c r="B89" s="4" t="n">
        <v>1024</v>
      </c>
      <c r="C89" s="4" t="n">
        <v>80</v>
      </c>
      <c r="D89" s="1" t="str">
        <f aca="false">A89&amp;B89&amp;C89</f>
        <v>SDWN MOD102480</v>
      </c>
      <c r="E89" s="0" t="n">
        <v>8.42445</v>
      </c>
      <c r="F89" s="0" t="n">
        <v>0.00607</v>
      </c>
      <c r="G89" s="0" t="n">
        <v>8.42844</v>
      </c>
      <c r="H89" s="0" t="n">
        <v>0.00364</v>
      </c>
      <c r="I89" s="0" t="n">
        <v>8.42985</v>
      </c>
      <c r="J89" s="0" t="n">
        <v>0.00122</v>
      </c>
      <c r="K89" s="0" t="n">
        <v>8.43</v>
      </c>
      <c r="L89" s="0" t="n">
        <v>0</v>
      </c>
    </row>
    <row r="90" customFormat="false" ht="12.8" hidden="false" customHeight="false" outlineLevel="0" collapsed="false">
      <c r="A90" s="4" t="s">
        <v>14</v>
      </c>
      <c r="B90" s="4" t="n">
        <v>1024</v>
      </c>
      <c r="C90" s="4" t="n">
        <v>90</v>
      </c>
      <c r="D90" s="1" t="str">
        <f aca="false">A90&amp;B90&amp;C90</f>
        <v>SDWN MOD102490</v>
      </c>
      <c r="E90" s="0" t="n">
        <v>8.42289</v>
      </c>
      <c r="F90" s="0" t="n">
        <v>0.00826</v>
      </c>
      <c r="G90" s="0" t="n">
        <v>8.42812</v>
      </c>
      <c r="H90" s="0" t="n">
        <v>0.00482</v>
      </c>
      <c r="I90" s="0" t="n">
        <v>8.42945</v>
      </c>
      <c r="J90" s="0" t="n">
        <v>0.00228</v>
      </c>
      <c r="K90" s="0" t="n">
        <v>8.42995</v>
      </c>
      <c r="L90" s="0" t="n">
        <v>0.00068</v>
      </c>
    </row>
    <row r="91" customFormat="false" ht="12.8" hidden="false" customHeight="false" outlineLevel="0" collapsed="false">
      <c r="A91" s="4" t="s">
        <v>14</v>
      </c>
      <c r="B91" s="4" t="n">
        <v>1024</v>
      </c>
      <c r="C91" s="4" t="n">
        <v>100</v>
      </c>
      <c r="D91" s="1" t="str">
        <f aca="false">A91&amp;B91&amp;C91</f>
        <v>SDWN MOD1024100</v>
      </c>
      <c r="E91" s="0" t="n">
        <v>8.42331</v>
      </c>
      <c r="F91" s="0" t="n">
        <v>0.00797</v>
      </c>
      <c r="G91" s="0" t="n">
        <v>8.42887</v>
      </c>
      <c r="H91" s="0" t="n">
        <v>0.00318</v>
      </c>
      <c r="I91" s="0" t="n">
        <v>8.42988</v>
      </c>
      <c r="J91" s="0" t="n">
        <v>0.00109</v>
      </c>
      <c r="K91" s="0" t="n">
        <v>8.43</v>
      </c>
      <c r="L91" s="0" t="n">
        <v>0</v>
      </c>
    </row>
    <row r="92" customFormat="false" ht="12.8" hidden="false" customHeight="false" outlineLevel="0" collapsed="false">
      <c r="A92" s="4" t="s">
        <v>15</v>
      </c>
      <c r="B92" s="4" t="n">
        <v>256</v>
      </c>
      <c r="C92" s="4" t="n">
        <v>10</v>
      </c>
      <c r="D92" s="1" t="str">
        <f aca="false">A92&amp;B92&amp;C92</f>
        <v>SDWN IA25610</v>
      </c>
      <c r="E92" s="1" t="n">
        <v>2.27967</v>
      </c>
      <c r="F92" s="1" t="n">
        <v>0.00183</v>
      </c>
      <c r="G92" s="1" t="n">
        <v>2.27933</v>
      </c>
      <c r="H92" s="1" t="n">
        <v>0.00254</v>
      </c>
      <c r="I92" s="1" t="n">
        <v>2.2795</v>
      </c>
      <c r="J92" s="1" t="n">
        <v>0.00224</v>
      </c>
      <c r="K92" s="1" t="n">
        <v>2.28</v>
      </c>
      <c r="L92" s="1" t="n">
        <v>0</v>
      </c>
    </row>
    <row r="93" customFormat="false" ht="12.8" hidden="false" customHeight="false" outlineLevel="0" collapsed="false">
      <c r="A93" s="4" t="s">
        <v>15</v>
      </c>
      <c r="B93" s="4" t="n">
        <v>256</v>
      </c>
      <c r="C93" s="4" t="n">
        <v>20</v>
      </c>
      <c r="D93" s="1" t="str">
        <f aca="false">A93&amp;B93&amp;C93</f>
        <v>SDWN IA25620</v>
      </c>
      <c r="E93" s="1" t="n">
        <v>2.279</v>
      </c>
      <c r="F93" s="1" t="n">
        <v>0.00303</v>
      </c>
      <c r="G93" s="1" t="n">
        <v>2.2778</v>
      </c>
      <c r="H93" s="1" t="n">
        <v>0.00418</v>
      </c>
      <c r="I93" s="1" t="n">
        <v>2.279</v>
      </c>
      <c r="J93" s="1" t="n">
        <v>0.00303</v>
      </c>
      <c r="K93" s="1" t="n">
        <v>2.28</v>
      </c>
      <c r="L93" s="1" t="n">
        <v>0</v>
      </c>
    </row>
    <row r="94" customFormat="false" ht="12.8" hidden="false" customHeight="false" outlineLevel="0" collapsed="false">
      <c r="A94" s="4" t="s">
        <v>15</v>
      </c>
      <c r="B94" s="4" t="n">
        <v>256</v>
      </c>
      <c r="C94" s="4" t="n">
        <v>30</v>
      </c>
      <c r="D94" s="1" t="str">
        <f aca="false">A94&amp;B94&amp;C94</f>
        <v>SDWN IA25630</v>
      </c>
      <c r="E94" s="1" t="n">
        <v>2.27675</v>
      </c>
      <c r="F94" s="1" t="n">
        <v>0.00471</v>
      </c>
      <c r="G94" s="1" t="n">
        <v>2.279</v>
      </c>
      <c r="H94" s="1" t="n">
        <v>0.00302</v>
      </c>
      <c r="I94" s="1" t="n">
        <v>2.27857</v>
      </c>
      <c r="J94" s="1" t="n">
        <v>0.00352</v>
      </c>
      <c r="K94" s="1" t="n">
        <v>2.27929</v>
      </c>
      <c r="L94" s="1" t="n">
        <v>0.00259</v>
      </c>
    </row>
    <row r="95" customFormat="false" ht="12.8" hidden="false" customHeight="false" outlineLevel="0" collapsed="false">
      <c r="A95" s="4" t="s">
        <v>15</v>
      </c>
      <c r="B95" s="4" t="n">
        <v>256</v>
      </c>
      <c r="C95" s="4" t="n">
        <v>40</v>
      </c>
      <c r="D95" s="1" t="str">
        <f aca="false">A95&amp;B95&amp;C95</f>
        <v>SDWN IA25640</v>
      </c>
      <c r="E95" s="1" t="n">
        <v>2.2755</v>
      </c>
      <c r="F95" s="1" t="n">
        <v>0.005</v>
      </c>
      <c r="G95" s="1" t="n">
        <v>2.2767</v>
      </c>
      <c r="H95" s="1" t="n">
        <v>0.00473</v>
      </c>
      <c r="I95" s="1" t="n">
        <v>2.2784</v>
      </c>
      <c r="J95" s="1" t="n">
        <v>0.00368</v>
      </c>
      <c r="K95" s="1" t="n">
        <v>2.2788</v>
      </c>
      <c r="L95" s="1" t="n">
        <v>0.00327</v>
      </c>
    </row>
    <row r="96" customFormat="false" ht="12.8" hidden="false" customHeight="false" outlineLevel="0" collapsed="false">
      <c r="A96" s="4" t="s">
        <v>15</v>
      </c>
      <c r="B96" s="4" t="n">
        <v>256</v>
      </c>
      <c r="C96" s="4" t="n">
        <v>50</v>
      </c>
      <c r="D96" s="1" t="str">
        <f aca="false">A96&amp;B96&amp;C96</f>
        <v>SDWN IA25650</v>
      </c>
      <c r="E96" s="1" t="n">
        <v>2.27538</v>
      </c>
      <c r="F96" s="1" t="n">
        <v>0.005</v>
      </c>
      <c r="G96" s="1" t="n">
        <v>2.27662</v>
      </c>
      <c r="H96" s="1" t="n">
        <v>0.00475</v>
      </c>
      <c r="I96" s="1" t="n">
        <v>2.27817</v>
      </c>
      <c r="J96" s="1" t="n">
        <v>0.00389</v>
      </c>
      <c r="K96" s="1" t="n">
        <v>2.279</v>
      </c>
      <c r="L96" s="1" t="n">
        <v>0.00301</v>
      </c>
    </row>
    <row r="97" customFormat="false" ht="12.8" hidden="false" customHeight="false" outlineLevel="0" collapsed="false">
      <c r="A97" s="4" t="s">
        <v>15</v>
      </c>
      <c r="B97" s="4" t="n">
        <v>256</v>
      </c>
      <c r="C97" s="4" t="n">
        <v>60</v>
      </c>
      <c r="D97" s="1" t="str">
        <f aca="false">A97&amp;B97&amp;C97</f>
        <v>SDWN IA25660</v>
      </c>
      <c r="E97" s="1" t="n">
        <v>2.274</v>
      </c>
      <c r="F97" s="1" t="n">
        <v>0.00518</v>
      </c>
      <c r="G97" s="1" t="n">
        <v>2.2768</v>
      </c>
      <c r="H97" s="1" t="n">
        <v>0.00468</v>
      </c>
      <c r="I97" s="1" t="n">
        <v>2.2782</v>
      </c>
      <c r="J97" s="1" t="n">
        <v>0.00385</v>
      </c>
      <c r="K97" s="1" t="n">
        <v>2.2784</v>
      </c>
      <c r="L97" s="1" t="n">
        <v>0.00368</v>
      </c>
    </row>
    <row r="98" customFormat="false" ht="12.8" hidden="false" customHeight="false" outlineLevel="0" collapsed="false">
      <c r="A98" s="4" t="s">
        <v>15</v>
      </c>
      <c r="B98" s="4" t="n">
        <v>256</v>
      </c>
      <c r="C98" s="4" t="n">
        <v>70</v>
      </c>
      <c r="D98" s="1" t="str">
        <f aca="false">A98&amp;B98&amp;C98</f>
        <v>SDWN IA25670</v>
      </c>
      <c r="E98" s="1" t="n">
        <v>2.27456</v>
      </c>
      <c r="F98" s="1" t="n">
        <v>0.00499</v>
      </c>
      <c r="G98" s="1" t="n">
        <v>2.27639</v>
      </c>
      <c r="H98" s="1" t="n">
        <v>0.00482</v>
      </c>
      <c r="I98" s="1" t="n">
        <v>2.27894</v>
      </c>
      <c r="J98" s="1" t="n">
        <v>0.00309</v>
      </c>
      <c r="K98" s="1" t="n">
        <v>2.27965</v>
      </c>
      <c r="L98" s="1" t="n">
        <v>0.00185</v>
      </c>
    </row>
    <row r="99" customFormat="false" ht="12.8" hidden="false" customHeight="false" outlineLevel="0" collapsed="false">
      <c r="A99" s="4" t="s">
        <v>15</v>
      </c>
      <c r="B99" s="4" t="n">
        <v>256</v>
      </c>
      <c r="C99" s="4" t="n">
        <v>80</v>
      </c>
      <c r="D99" s="1" t="str">
        <f aca="false">A99&amp;B99&amp;C99</f>
        <v>SDWN IA25680</v>
      </c>
      <c r="E99" s="1" t="n">
        <v>2.27495</v>
      </c>
      <c r="F99" s="1" t="n">
        <v>0.00501</v>
      </c>
      <c r="G99" s="1" t="n">
        <v>2.27635</v>
      </c>
      <c r="H99" s="1" t="n">
        <v>0.00483</v>
      </c>
      <c r="I99" s="1" t="n">
        <v>2.27885</v>
      </c>
      <c r="J99" s="1" t="n">
        <v>0.0032</v>
      </c>
      <c r="K99" s="1" t="n">
        <v>2.28</v>
      </c>
      <c r="L99" s="1" t="n">
        <v>0</v>
      </c>
    </row>
    <row r="100" customFormat="false" ht="12.8" hidden="false" customHeight="false" outlineLevel="0" collapsed="false">
      <c r="A100" s="4" t="s">
        <v>15</v>
      </c>
      <c r="B100" s="4" t="n">
        <v>256</v>
      </c>
      <c r="C100" s="4" t="n">
        <v>90</v>
      </c>
      <c r="D100" s="1" t="str">
        <f aca="false">A100&amp;B100&amp;C100</f>
        <v>SDWN IA25690</v>
      </c>
      <c r="E100" s="1" t="n">
        <v>2.27348</v>
      </c>
      <c r="F100" s="1" t="n">
        <v>0.00599</v>
      </c>
      <c r="G100" s="1" t="n">
        <v>2.27622</v>
      </c>
      <c r="H100" s="1" t="n">
        <v>0.00495</v>
      </c>
      <c r="I100" s="1" t="n">
        <v>2.27832</v>
      </c>
      <c r="J100" s="1" t="n">
        <v>0.00375</v>
      </c>
      <c r="K100" s="1" t="n">
        <v>2.27941</v>
      </c>
      <c r="L100" s="1" t="n">
        <v>0.00236</v>
      </c>
    </row>
    <row r="101" customFormat="false" ht="12.8" hidden="false" customHeight="false" outlineLevel="0" collapsed="false">
      <c r="A101" s="4" t="s">
        <v>15</v>
      </c>
      <c r="B101" s="4" t="n">
        <v>256</v>
      </c>
      <c r="C101" s="4" t="n">
        <v>100</v>
      </c>
      <c r="D101" s="1" t="str">
        <f aca="false">A101&amp;B101&amp;C101</f>
        <v>SDWN IA256100</v>
      </c>
      <c r="E101" s="1" t="n">
        <v>2.27376</v>
      </c>
      <c r="F101" s="1" t="n">
        <v>0.00525</v>
      </c>
      <c r="G101" s="1" t="n">
        <v>2.27656</v>
      </c>
      <c r="H101" s="1" t="n">
        <v>0.00476</v>
      </c>
      <c r="I101" s="1" t="n">
        <v>2.27912</v>
      </c>
      <c r="J101" s="1" t="n">
        <v>0.00284</v>
      </c>
      <c r="K101" s="1" t="n">
        <v>2.27984</v>
      </c>
      <c r="L101" s="1" t="n">
        <v>0.00126</v>
      </c>
    </row>
    <row r="102" customFormat="false" ht="12.8" hidden="false" customHeight="false" outlineLevel="0" collapsed="false">
      <c r="A102" s="4" t="s">
        <v>15</v>
      </c>
      <c r="B102" s="4" t="n">
        <v>512</v>
      </c>
      <c r="C102" s="4" t="n">
        <v>10</v>
      </c>
      <c r="D102" s="1" t="str">
        <f aca="false">A102&amp;B102&amp;C102</f>
        <v>SDWN IA51210</v>
      </c>
      <c r="E102" s="1" t="n">
        <v>4.32967</v>
      </c>
      <c r="F102" s="1" t="n">
        <v>0.00183</v>
      </c>
      <c r="G102" s="1" t="n">
        <v>4.32933</v>
      </c>
      <c r="H102" s="1" t="n">
        <v>0.00254</v>
      </c>
      <c r="I102" s="1" t="n">
        <v>4.3295</v>
      </c>
      <c r="J102" s="1" t="n">
        <v>0.00224</v>
      </c>
      <c r="K102" s="1" t="n">
        <v>4.33</v>
      </c>
      <c r="L102" s="1" t="n">
        <v>0</v>
      </c>
    </row>
    <row r="103" customFormat="false" ht="12.8" hidden="false" customHeight="false" outlineLevel="0" collapsed="false">
      <c r="A103" s="4" t="s">
        <v>15</v>
      </c>
      <c r="B103" s="4" t="n">
        <v>512</v>
      </c>
      <c r="C103" s="4" t="n">
        <v>20</v>
      </c>
      <c r="D103" s="1" t="str">
        <f aca="false">A103&amp;B103&amp;C103</f>
        <v>SDWN IA51220</v>
      </c>
      <c r="E103" s="1" t="n">
        <v>4.329</v>
      </c>
      <c r="F103" s="1" t="n">
        <v>0.00303</v>
      </c>
      <c r="G103" s="1" t="n">
        <v>4.3278</v>
      </c>
      <c r="H103" s="1" t="n">
        <v>0.00418</v>
      </c>
      <c r="I103" s="1" t="n">
        <v>4.3288</v>
      </c>
      <c r="J103" s="1" t="n">
        <v>0.00328</v>
      </c>
      <c r="K103" s="1" t="n">
        <v>4.3298</v>
      </c>
      <c r="L103" s="1" t="n">
        <v>0.00141</v>
      </c>
    </row>
    <row r="104" customFormat="false" ht="12.8" hidden="false" customHeight="false" outlineLevel="0" collapsed="false">
      <c r="A104" s="4" t="s">
        <v>15</v>
      </c>
      <c r="B104" s="4" t="n">
        <v>512</v>
      </c>
      <c r="C104" s="4" t="n">
        <v>30</v>
      </c>
      <c r="D104" s="1" t="str">
        <f aca="false">A104&amp;B104&amp;C104</f>
        <v>SDWN IA51230</v>
      </c>
      <c r="E104" s="1" t="n">
        <v>4.32687</v>
      </c>
      <c r="F104" s="1" t="n">
        <v>0.00466</v>
      </c>
      <c r="G104" s="1" t="n">
        <v>4.32875</v>
      </c>
      <c r="H104" s="1" t="n">
        <v>0.00333</v>
      </c>
      <c r="I104" s="1" t="n">
        <v>4.32929</v>
      </c>
      <c r="J104" s="1" t="n">
        <v>0.00259</v>
      </c>
      <c r="K104" s="1" t="n">
        <v>4.32971</v>
      </c>
      <c r="L104" s="1" t="n">
        <v>0.00168</v>
      </c>
    </row>
    <row r="105" customFormat="false" ht="12.8" hidden="false" customHeight="false" outlineLevel="0" collapsed="false">
      <c r="A105" s="4" t="s">
        <v>15</v>
      </c>
      <c r="B105" s="4" t="n">
        <v>512</v>
      </c>
      <c r="C105" s="4" t="n">
        <v>40</v>
      </c>
      <c r="D105" s="1" t="str">
        <f aca="false">A105&amp;B105&amp;C105</f>
        <v>SDWN IA51240</v>
      </c>
      <c r="E105" s="1" t="n">
        <v>4.3249</v>
      </c>
      <c r="F105" s="1" t="n">
        <v>0.00628</v>
      </c>
      <c r="G105" s="1" t="n">
        <v>4.3261</v>
      </c>
      <c r="H105" s="1" t="n">
        <v>0.00601</v>
      </c>
      <c r="I105" s="1" t="n">
        <v>4.3284</v>
      </c>
      <c r="J105" s="1" t="n">
        <v>0.00368</v>
      </c>
      <c r="K105" s="1" t="n">
        <v>4.3286</v>
      </c>
      <c r="L105" s="1" t="n">
        <v>0.00349</v>
      </c>
    </row>
    <row r="106" customFormat="false" ht="12.8" hidden="false" customHeight="false" outlineLevel="0" collapsed="false">
      <c r="A106" s="4" t="s">
        <v>15</v>
      </c>
      <c r="B106" s="4" t="n">
        <v>512</v>
      </c>
      <c r="C106" s="4" t="n">
        <v>50</v>
      </c>
      <c r="D106" s="1" t="str">
        <f aca="false">A106&amp;B106&amp;C106</f>
        <v>SDWN IA51250</v>
      </c>
      <c r="E106" s="1" t="n">
        <v>4.32531</v>
      </c>
      <c r="F106" s="1" t="n">
        <v>0.00545</v>
      </c>
      <c r="G106" s="1" t="n">
        <v>4.32769</v>
      </c>
      <c r="H106" s="1" t="n">
        <v>0.00441</v>
      </c>
      <c r="I106" s="1" t="n">
        <v>4.32933</v>
      </c>
      <c r="J106" s="1" t="n">
        <v>0.0025</v>
      </c>
      <c r="K106" s="1" t="n">
        <v>4.32975</v>
      </c>
      <c r="L106" s="1" t="n">
        <v>0.00157</v>
      </c>
    </row>
    <row r="107" customFormat="false" ht="12.8" hidden="false" customHeight="false" outlineLevel="0" collapsed="false">
      <c r="A107" s="4" t="s">
        <v>15</v>
      </c>
      <c r="B107" s="4" t="n">
        <v>512</v>
      </c>
      <c r="C107" s="4" t="n">
        <v>60</v>
      </c>
      <c r="D107" s="1" t="str">
        <f aca="false">A107&amp;B107&amp;C107</f>
        <v>SDWN IA51260</v>
      </c>
      <c r="E107" s="1" t="n">
        <v>4.3224</v>
      </c>
      <c r="F107" s="1" t="n">
        <v>0.00711</v>
      </c>
      <c r="G107" s="1" t="n">
        <v>4.32667</v>
      </c>
      <c r="H107" s="1" t="n">
        <v>0.00501</v>
      </c>
      <c r="I107" s="1" t="n">
        <v>4.32893</v>
      </c>
      <c r="J107" s="1" t="n">
        <v>0.00331</v>
      </c>
      <c r="K107" s="1" t="n">
        <v>4.32907</v>
      </c>
      <c r="L107" s="1" t="n">
        <v>0.00292</v>
      </c>
    </row>
    <row r="108" customFormat="false" ht="12.8" hidden="false" customHeight="false" outlineLevel="0" collapsed="false">
      <c r="A108" s="4" t="s">
        <v>15</v>
      </c>
      <c r="B108" s="4" t="n">
        <v>512</v>
      </c>
      <c r="C108" s="4" t="n">
        <v>70</v>
      </c>
      <c r="D108" s="1" t="str">
        <f aca="false">A108&amp;B108&amp;C108</f>
        <v>SDWN IA51270</v>
      </c>
      <c r="E108" s="1" t="n">
        <v>4.32139</v>
      </c>
      <c r="F108" s="1" t="n">
        <v>0.00857</v>
      </c>
      <c r="G108" s="1" t="n">
        <v>4.32417</v>
      </c>
      <c r="H108" s="1" t="n">
        <v>0.00731</v>
      </c>
      <c r="I108" s="1" t="n">
        <v>4.32618</v>
      </c>
      <c r="J108" s="1" t="n">
        <v>0.00644</v>
      </c>
      <c r="K108" s="1" t="n">
        <v>4.328</v>
      </c>
      <c r="L108" s="1" t="n">
        <v>0.00456</v>
      </c>
    </row>
    <row r="109" customFormat="false" ht="12.8" hidden="false" customHeight="false" outlineLevel="0" collapsed="false">
      <c r="A109" s="4" t="s">
        <v>15</v>
      </c>
      <c r="B109" s="4" t="n">
        <v>512</v>
      </c>
      <c r="C109" s="4" t="n">
        <v>80</v>
      </c>
      <c r="D109" s="1" t="str">
        <f aca="false">A109&amp;B109&amp;C109</f>
        <v>SDWN IA51280</v>
      </c>
      <c r="E109" s="1" t="n">
        <v>4.3212</v>
      </c>
      <c r="F109" s="1" t="n">
        <v>0.00889</v>
      </c>
      <c r="G109" s="1" t="n">
        <v>4.3236</v>
      </c>
      <c r="H109" s="1" t="n">
        <v>0.00777</v>
      </c>
      <c r="I109" s="1" t="n">
        <v>4.32555</v>
      </c>
      <c r="J109" s="1" t="n">
        <v>0.00678</v>
      </c>
      <c r="K109" s="1" t="n">
        <v>4.3278</v>
      </c>
      <c r="L109" s="1" t="n">
        <v>0.00503</v>
      </c>
    </row>
    <row r="110" customFormat="false" ht="12.8" hidden="false" customHeight="false" outlineLevel="0" collapsed="false">
      <c r="A110" s="4" t="s">
        <v>15</v>
      </c>
      <c r="B110" s="4" t="n">
        <v>512</v>
      </c>
      <c r="C110" s="4" t="n">
        <v>90</v>
      </c>
      <c r="D110" s="1" t="str">
        <f aca="false">A110&amp;B110&amp;C110</f>
        <v>SDWN IA51290</v>
      </c>
      <c r="E110" s="1" t="n">
        <v>4.32261</v>
      </c>
      <c r="F110" s="1" t="n">
        <v>0.00737</v>
      </c>
      <c r="G110" s="1" t="n">
        <v>4.32687</v>
      </c>
      <c r="H110" s="1" t="n">
        <v>0.00526</v>
      </c>
      <c r="I110" s="1" t="n">
        <v>4.32909</v>
      </c>
      <c r="J110" s="1" t="n">
        <v>0.00304</v>
      </c>
      <c r="K110" s="1" t="n">
        <v>4.32977</v>
      </c>
      <c r="L110" s="1" t="n">
        <v>0.00149</v>
      </c>
    </row>
    <row r="111" customFormat="false" ht="12.8" hidden="false" customHeight="false" outlineLevel="0" collapsed="false">
      <c r="A111" s="4" t="s">
        <v>15</v>
      </c>
      <c r="B111" s="4" t="n">
        <v>512</v>
      </c>
      <c r="C111" s="4" t="n">
        <v>100</v>
      </c>
      <c r="D111" s="1" t="str">
        <f aca="false">A111&amp;B111&amp;C111</f>
        <v>SDWN IA512100</v>
      </c>
      <c r="E111" s="1" t="n">
        <v>4.32208</v>
      </c>
      <c r="F111" s="1" t="n">
        <v>0.00829</v>
      </c>
      <c r="G111" s="1" t="n">
        <v>4.32576</v>
      </c>
      <c r="H111" s="1" t="n">
        <v>0.00631</v>
      </c>
      <c r="I111" s="1" t="n">
        <v>4.32888</v>
      </c>
      <c r="J111" s="1" t="n">
        <v>0.00328</v>
      </c>
      <c r="K111" s="1" t="n">
        <v>4.3298</v>
      </c>
      <c r="L111" s="1" t="n">
        <v>0.0014</v>
      </c>
    </row>
    <row r="112" customFormat="false" ht="12.8" hidden="false" customHeight="false" outlineLevel="0" collapsed="false">
      <c r="A112" s="4" t="s">
        <v>15</v>
      </c>
      <c r="B112" s="4" t="n">
        <v>1024</v>
      </c>
      <c r="C112" s="4" t="n">
        <v>10</v>
      </c>
      <c r="D112" s="1" t="str">
        <f aca="false">A112&amp;B112&amp;C112</f>
        <v>SDWN IA102410</v>
      </c>
      <c r="E112" s="1" t="n">
        <v>8.42933</v>
      </c>
      <c r="F112" s="1" t="n">
        <v>0.00254</v>
      </c>
      <c r="G112" s="1" t="n">
        <v>8.42933</v>
      </c>
      <c r="H112" s="1" t="n">
        <v>0.00254</v>
      </c>
      <c r="I112" s="1" t="n">
        <v>8.4295</v>
      </c>
      <c r="J112" s="1" t="n">
        <v>0.00224</v>
      </c>
      <c r="K112" s="1" t="n">
        <v>8.43</v>
      </c>
      <c r="L112" s="1" t="n">
        <v>0</v>
      </c>
    </row>
    <row r="113" customFormat="false" ht="12.8" hidden="false" customHeight="false" outlineLevel="0" collapsed="false">
      <c r="A113" s="4" t="s">
        <v>15</v>
      </c>
      <c r="B113" s="4" t="n">
        <v>1024</v>
      </c>
      <c r="C113" s="4" t="n">
        <v>20</v>
      </c>
      <c r="D113" s="1" t="str">
        <f aca="false">A113&amp;B113&amp;C113</f>
        <v>SDWN IA102420</v>
      </c>
      <c r="E113" s="1" t="n">
        <v>8.429</v>
      </c>
      <c r="F113" s="1" t="n">
        <v>0.00303</v>
      </c>
      <c r="G113" s="1" t="n">
        <v>8.428</v>
      </c>
      <c r="H113" s="1" t="n">
        <v>0.00404</v>
      </c>
      <c r="I113" s="1" t="n">
        <v>8.4288</v>
      </c>
      <c r="J113" s="1" t="n">
        <v>0.00328</v>
      </c>
      <c r="K113" s="1" t="n">
        <v>8.43</v>
      </c>
      <c r="L113" s="1" t="n">
        <v>0</v>
      </c>
    </row>
    <row r="114" customFormat="false" ht="12.8" hidden="false" customHeight="false" outlineLevel="0" collapsed="false">
      <c r="A114" s="4" t="s">
        <v>15</v>
      </c>
      <c r="B114" s="4" t="n">
        <v>1024</v>
      </c>
      <c r="C114" s="4" t="n">
        <v>30</v>
      </c>
      <c r="D114" s="1" t="str">
        <f aca="false">A114&amp;B114&amp;C114</f>
        <v>SDWN IA102430</v>
      </c>
      <c r="E114" s="1" t="n">
        <v>8.42663</v>
      </c>
      <c r="F114" s="1" t="n">
        <v>0.0055</v>
      </c>
      <c r="G114" s="1" t="n">
        <v>8.42888</v>
      </c>
      <c r="H114" s="1" t="n">
        <v>0.00318</v>
      </c>
      <c r="I114" s="1" t="n">
        <v>8.429</v>
      </c>
      <c r="J114" s="1" t="n">
        <v>0.00422</v>
      </c>
      <c r="K114" s="1" t="n">
        <v>8.42957</v>
      </c>
      <c r="L114" s="1" t="n">
        <v>0.00204</v>
      </c>
    </row>
    <row r="115" customFormat="false" ht="12.8" hidden="false" customHeight="false" outlineLevel="0" collapsed="false">
      <c r="A115" s="4" t="s">
        <v>15</v>
      </c>
      <c r="B115" s="4" t="n">
        <v>1024</v>
      </c>
      <c r="C115" s="4" t="n">
        <v>40</v>
      </c>
      <c r="D115" s="1" t="str">
        <f aca="false">A115&amp;B115&amp;C115</f>
        <v>SDWN IA102440</v>
      </c>
      <c r="E115" s="1" t="n">
        <v>8.4244</v>
      </c>
      <c r="F115" s="1" t="n">
        <v>0.00743</v>
      </c>
      <c r="G115" s="1" t="n">
        <v>8.4276</v>
      </c>
      <c r="H115" s="1" t="n">
        <v>0.00495</v>
      </c>
      <c r="I115" s="1" t="n">
        <v>8.4282</v>
      </c>
      <c r="J115" s="1" t="n">
        <v>0.00386</v>
      </c>
      <c r="K115" s="1" t="n">
        <v>8.4296</v>
      </c>
      <c r="L115" s="1" t="n">
        <v>0.00197</v>
      </c>
    </row>
    <row r="116" customFormat="false" ht="12.8" hidden="false" customHeight="false" outlineLevel="0" collapsed="false">
      <c r="A116" s="4" t="s">
        <v>15</v>
      </c>
      <c r="B116" s="4" t="n">
        <v>1024</v>
      </c>
      <c r="C116" s="4" t="n">
        <v>50</v>
      </c>
      <c r="D116" s="1" t="str">
        <f aca="false">A116&amp;B116&amp;C116</f>
        <v>SDWN IA102450</v>
      </c>
      <c r="E116" s="1" t="n">
        <v>8.42262</v>
      </c>
      <c r="F116" s="1" t="n">
        <v>0.01016</v>
      </c>
      <c r="G116" s="1" t="n">
        <v>8.42562</v>
      </c>
      <c r="H116" s="1" t="n">
        <v>0.00845</v>
      </c>
      <c r="I116" s="1" t="n">
        <v>8.42742</v>
      </c>
      <c r="J116" s="1" t="n">
        <v>0.00587</v>
      </c>
      <c r="K116" s="1" t="n">
        <v>8.429</v>
      </c>
      <c r="L116" s="1" t="n">
        <v>0.00301</v>
      </c>
    </row>
    <row r="117" customFormat="false" ht="12.8" hidden="false" customHeight="false" outlineLevel="0" collapsed="false">
      <c r="A117" s="4" t="s">
        <v>15</v>
      </c>
      <c r="B117" s="4" t="n">
        <v>1024</v>
      </c>
      <c r="C117" s="4" t="n">
        <v>60</v>
      </c>
      <c r="D117" s="1" t="str">
        <f aca="false">A117&amp;B117&amp;C117</f>
        <v>SDWN IA102460</v>
      </c>
      <c r="E117" s="1" t="n">
        <v>8.42147</v>
      </c>
      <c r="F117" s="1" t="n">
        <v>0.00986</v>
      </c>
      <c r="G117" s="1" t="n">
        <v>8.42653</v>
      </c>
      <c r="H117" s="1" t="n">
        <v>0.00518</v>
      </c>
      <c r="I117" s="1" t="n">
        <v>8.42887</v>
      </c>
      <c r="J117" s="1" t="n">
        <v>0.00426</v>
      </c>
      <c r="K117" s="1" t="n">
        <v>8.4294</v>
      </c>
      <c r="L117" s="1" t="n">
        <v>0.00312</v>
      </c>
    </row>
    <row r="118" customFormat="false" ht="12.8" hidden="false" customHeight="false" outlineLevel="0" collapsed="false">
      <c r="A118" s="4" t="s">
        <v>15</v>
      </c>
      <c r="B118" s="4" t="n">
        <v>1024</v>
      </c>
      <c r="C118" s="4" t="n">
        <v>70</v>
      </c>
      <c r="D118" s="1" t="str">
        <f aca="false">A118&amp;B118&amp;C118</f>
        <v>SDWN IA102470</v>
      </c>
      <c r="E118" s="1" t="n">
        <v>8.42372</v>
      </c>
      <c r="F118" s="1" t="n">
        <v>0.00798</v>
      </c>
      <c r="G118" s="1" t="n">
        <v>8.42622</v>
      </c>
      <c r="H118" s="1" t="n">
        <v>0.0058</v>
      </c>
      <c r="I118" s="1" t="n">
        <v>8.42865</v>
      </c>
      <c r="J118" s="1" t="n">
        <v>0.00391</v>
      </c>
      <c r="K118" s="1" t="n">
        <v>8.42947</v>
      </c>
      <c r="L118" s="1" t="n">
        <v>0.00225</v>
      </c>
    </row>
    <row r="119" customFormat="false" ht="12.8" hidden="false" customHeight="false" outlineLevel="0" collapsed="false">
      <c r="A119" s="4" t="s">
        <v>15</v>
      </c>
      <c r="B119" s="4" t="n">
        <v>1024</v>
      </c>
      <c r="C119" s="4" t="n">
        <v>80</v>
      </c>
      <c r="D119" s="1" t="str">
        <f aca="false">A119&amp;B119&amp;C119</f>
        <v>SDWN IA102480</v>
      </c>
      <c r="E119" s="1" t="n">
        <v>8.4231</v>
      </c>
      <c r="F119" s="1" t="n">
        <v>0.0087</v>
      </c>
      <c r="G119" s="1" t="n">
        <v>8.4271</v>
      </c>
      <c r="H119" s="1" t="n">
        <v>0.00487</v>
      </c>
      <c r="I119" s="1" t="n">
        <v>8.42895</v>
      </c>
      <c r="J119" s="1" t="n">
        <v>0.00307</v>
      </c>
      <c r="K119" s="1" t="n">
        <v>8.4298</v>
      </c>
      <c r="L119" s="1" t="n">
        <v>0.00141</v>
      </c>
    </row>
    <row r="120" customFormat="false" ht="12.8" hidden="false" customHeight="false" outlineLevel="0" collapsed="false">
      <c r="A120" s="4" t="s">
        <v>15</v>
      </c>
      <c r="B120" s="4" t="n">
        <v>1024</v>
      </c>
      <c r="C120" s="4" t="n">
        <v>90</v>
      </c>
      <c r="D120" s="1" t="str">
        <f aca="false">A120&amp;B120&amp;C120</f>
        <v>SDWN IA102490</v>
      </c>
      <c r="E120" s="1" t="n">
        <v>8.42383</v>
      </c>
      <c r="F120" s="1" t="n">
        <v>0.0081</v>
      </c>
      <c r="G120" s="1" t="n">
        <v>8.42826</v>
      </c>
      <c r="H120" s="1" t="n">
        <v>0.00413</v>
      </c>
      <c r="I120" s="1" t="n">
        <v>8.42973</v>
      </c>
      <c r="J120" s="1" t="n">
        <v>0.00163</v>
      </c>
      <c r="K120" s="1" t="n">
        <v>8.43</v>
      </c>
      <c r="L120" s="1" t="n">
        <v>0</v>
      </c>
    </row>
    <row r="121" customFormat="false" ht="12.8" hidden="false" customHeight="false" outlineLevel="0" collapsed="false">
      <c r="A121" s="4" t="s">
        <v>15</v>
      </c>
      <c r="B121" s="4" t="n">
        <v>1024</v>
      </c>
      <c r="C121" s="4" t="n">
        <v>100</v>
      </c>
      <c r="D121" s="1" t="str">
        <f aca="false">A121&amp;B121&amp;C121</f>
        <v>SDWN IA1024100</v>
      </c>
      <c r="E121" s="1" t="n">
        <v>8.42328</v>
      </c>
      <c r="F121" s="1" t="n">
        <v>0.00839</v>
      </c>
      <c r="G121" s="1" t="n">
        <v>8.42836</v>
      </c>
      <c r="H121" s="1" t="n">
        <v>0.00402</v>
      </c>
      <c r="I121" s="1" t="n">
        <v>8.42956</v>
      </c>
      <c r="J121" s="1" t="n">
        <v>0.00206</v>
      </c>
      <c r="K121" s="1" t="n">
        <v>8.42992</v>
      </c>
      <c r="L121" s="1" t="n">
        <v>0.00089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1"/>
  <sheetViews>
    <sheetView showFormulas="false" showGridLines="true" showRowColHeaders="true" showZeros="true" rightToLeft="false" tabSelected="false" showOutlineSymbols="true" defaultGridColor="true" view="normal" topLeftCell="A52" colorId="64" zoomScale="110" zoomScaleNormal="110" zoomScalePageLayoutView="100" workbookViewId="0">
      <selection pane="topLeft" activeCell="E62" activeCellId="0" sqref="E6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.66"/>
    <col collapsed="false" customWidth="true" hidden="false" outlineLevel="0" max="4" min="4" style="1" width="19.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customFormat="false" ht="12.8" hidden="false" customHeight="false" outlineLevel="0" collapsed="false">
      <c r="A2" s="4" t="s">
        <v>12</v>
      </c>
      <c r="B2" s="4" t="n">
        <v>256</v>
      </c>
      <c r="C2" s="4" t="n">
        <v>10</v>
      </c>
      <c r="D2" s="1" t="str">
        <f aca="false">A2&amp;B2&amp;C2</f>
        <v>NO SDWN25610</v>
      </c>
      <c r="E2" s="1" t="n">
        <v>0.01111</v>
      </c>
      <c r="F2" s="1" t="n">
        <v>0.04157</v>
      </c>
      <c r="G2" s="1" t="n">
        <v>0.00556</v>
      </c>
      <c r="H2" s="1" t="n">
        <v>0.02992</v>
      </c>
      <c r="I2" s="1" t="n">
        <v>0.025</v>
      </c>
      <c r="J2" s="1" t="n">
        <v>0.05951</v>
      </c>
      <c r="K2" s="1" t="n">
        <v>0.025</v>
      </c>
      <c r="L2" s="1" t="n">
        <v>0.05951</v>
      </c>
    </row>
    <row r="3" customFormat="false" ht="12.8" hidden="false" customHeight="false" outlineLevel="0" collapsed="false">
      <c r="A3" s="4" t="s">
        <v>12</v>
      </c>
      <c r="B3" s="4" t="n">
        <v>256</v>
      </c>
      <c r="C3" s="4" t="n">
        <v>20</v>
      </c>
      <c r="D3" s="1" t="str">
        <f aca="false">A3&amp;B3&amp;C3</f>
        <v>NO SDWN25620</v>
      </c>
      <c r="E3" s="1" t="n">
        <v>0.03333</v>
      </c>
      <c r="F3" s="1" t="n">
        <v>0.06667</v>
      </c>
      <c r="G3" s="1" t="n">
        <v>0.02333</v>
      </c>
      <c r="H3" s="1" t="n">
        <v>0.05783</v>
      </c>
      <c r="I3" s="1" t="n">
        <v>0.01</v>
      </c>
      <c r="J3" s="1" t="n">
        <v>0.03958</v>
      </c>
      <c r="K3" s="1" t="n">
        <v>0.00667</v>
      </c>
      <c r="L3" s="1" t="n">
        <v>0.03266</v>
      </c>
    </row>
    <row r="4" customFormat="false" ht="12.8" hidden="false" customHeight="false" outlineLevel="0" collapsed="false">
      <c r="A4" s="4" t="s">
        <v>12</v>
      </c>
      <c r="B4" s="4" t="n">
        <v>256</v>
      </c>
      <c r="C4" s="4" t="n">
        <v>30</v>
      </c>
      <c r="D4" s="1" t="str">
        <f aca="false">A4&amp;B4&amp;C4</f>
        <v>NO SDWN25630</v>
      </c>
      <c r="E4" s="1" t="n">
        <v>0.07083</v>
      </c>
      <c r="F4" s="1" t="n">
        <v>0.0865</v>
      </c>
      <c r="G4" s="1" t="n">
        <v>0.025</v>
      </c>
      <c r="H4" s="1" t="n">
        <v>0.05951</v>
      </c>
      <c r="I4" s="1" t="n">
        <v>0.0119</v>
      </c>
      <c r="J4" s="1" t="n">
        <v>0.04292</v>
      </c>
      <c r="K4" s="1" t="n">
        <v>0.01429</v>
      </c>
      <c r="L4" s="1" t="n">
        <v>0.04666</v>
      </c>
    </row>
    <row r="5" customFormat="false" ht="12.8" hidden="false" customHeight="false" outlineLevel="0" collapsed="false">
      <c r="A5" s="4" t="s">
        <v>12</v>
      </c>
      <c r="B5" s="4" t="n">
        <v>256</v>
      </c>
      <c r="C5" s="4" t="n">
        <v>40</v>
      </c>
      <c r="D5" s="1" t="str">
        <f aca="false">A5&amp;B5&amp;C5</f>
        <v>NO SDWN25640</v>
      </c>
      <c r="E5" s="1" t="n">
        <v>0.10333</v>
      </c>
      <c r="F5" s="1" t="n">
        <v>0.11494</v>
      </c>
      <c r="G5" s="1" t="n">
        <v>0.055</v>
      </c>
      <c r="H5" s="1" t="n">
        <v>0.10015</v>
      </c>
      <c r="I5" s="1" t="n">
        <v>0.035</v>
      </c>
      <c r="J5" s="1" t="n">
        <v>0.07186</v>
      </c>
      <c r="K5" s="1" t="n">
        <v>0.01667</v>
      </c>
      <c r="L5" s="1" t="n">
        <v>0.05528</v>
      </c>
    </row>
    <row r="6" customFormat="false" ht="12.8" hidden="false" customHeight="false" outlineLevel="0" collapsed="false">
      <c r="A6" s="4" t="s">
        <v>12</v>
      </c>
      <c r="B6" s="4" t="n">
        <v>256</v>
      </c>
      <c r="C6" s="4" t="n">
        <v>50</v>
      </c>
      <c r="D6" s="1" t="str">
        <f aca="false">A6&amp;B6&amp;C6</f>
        <v>NO SDWN25650</v>
      </c>
      <c r="E6" s="1" t="n">
        <v>0.10724</v>
      </c>
      <c r="F6" s="1" t="n">
        <v>0.11137</v>
      </c>
      <c r="G6" s="1" t="n">
        <v>0.05469</v>
      </c>
      <c r="H6" s="1" t="n">
        <v>0.10439</v>
      </c>
      <c r="I6" s="1" t="n">
        <v>0.04722</v>
      </c>
      <c r="J6" s="1" t="n">
        <v>0.08919</v>
      </c>
      <c r="K6" s="1" t="n">
        <v>0.02778</v>
      </c>
      <c r="L6" s="1" t="n">
        <v>0.06917</v>
      </c>
    </row>
    <row r="7" customFormat="false" ht="12.8" hidden="false" customHeight="false" outlineLevel="0" collapsed="false">
      <c r="A7" s="4" t="s">
        <v>12</v>
      </c>
      <c r="B7" s="4" t="n">
        <v>256</v>
      </c>
      <c r="C7" s="4" t="n">
        <v>60</v>
      </c>
      <c r="D7" s="1" t="str">
        <f aca="false">A7&amp;B7&amp;C7</f>
        <v>NO SDWN25660</v>
      </c>
      <c r="E7" s="1" t="n">
        <v>0.13087</v>
      </c>
      <c r="F7" s="1" t="n">
        <v>0.13456</v>
      </c>
      <c r="G7" s="1" t="n">
        <v>0.07942</v>
      </c>
      <c r="H7" s="1" t="n">
        <v>0.11022</v>
      </c>
      <c r="I7" s="1" t="n">
        <v>0.04222</v>
      </c>
      <c r="J7" s="1" t="n">
        <v>0.09465</v>
      </c>
      <c r="K7" s="1" t="n">
        <v>0.03579</v>
      </c>
      <c r="L7" s="1" t="n">
        <v>0.07369</v>
      </c>
    </row>
    <row r="8" customFormat="false" ht="12.8" hidden="false" customHeight="false" outlineLevel="0" collapsed="false">
      <c r="A8" s="4" t="s">
        <v>12</v>
      </c>
      <c r="B8" s="4" t="n">
        <v>256</v>
      </c>
      <c r="C8" s="4" t="n">
        <v>70</v>
      </c>
      <c r="D8" s="1" t="str">
        <f aca="false">A8&amp;B8&amp;C8</f>
        <v>NO SDWN25670</v>
      </c>
      <c r="E8" s="1" t="n">
        <v>0.147</v>
      </c>
      <c r="F8" s="1" t="n">
        <v>0.15326</v>
      </c>
      <c r="G8" s="1" t="n">
        <v>0.10463</v>
      </c>
      <c r="H8" s="1" t="n">
        <v>0.13725</v>
      </c>
      <c r="I8" s="1" t="n">
        <v>0.0625</v>
      </c>
      <c r="J8" s="1" t="n">
        <v>0.11015</v>
      </c>
      <c r="K8" s="1" t="n">
        <v>0.04464</v>
      </c>
      <c r="L8" s="1" t="n">
        <v>0.09703</v>
      </c>
    </row>
    <row r="9" customFormat="false" ht="12.8" hidden="false" customHeight="false" outlineLevel="0" collapsed="false">
      <c r="A9" s="4" t="s">
        <v>12</v>
      </c>
      <c r="B9" s="4" t="n">
        <v>256</v>
      </c>
      <c r="C9" s="4" t="n">
        <v>80</v>
      </c>
      <c r="D9" s="1" t="str">
        <f aca="false">A9&amp;B9&amp;C9</f>
        <v>NO SDWN25680</v>
      </c>
      <c r="E9" s="1" t="n">
        <v>0.21633</v>
      </c>
      <c r="F9" s="1" t="n">
        <v>0.1848</v>
      </c>
      <c r="G9" s="1" t="n">
        <v>0.095</v>
      </c>
      <c r="H9" s="1" t="n">
        <v>0.12857</v>
      </c>
      <c r="I9" s="1" t="n">
        <v>0.06937</v>
      </c>
      <c r="J9" s="1" t="n">
        <v>0.11257</v>
      </c>
      <c r="K9" s="1" t="n">
        <v>0.0425</v>
      </c>
      <c r="L9" s="1" t="n">
        <v>0.0866</v>
      </c>
    </row>
    <row r="10" customFormat="false" ht="12.8" hidden="false" customHeight="false" outlineLevel="0" collapsed="false">
      <c r="A10" s="4" t="s">
        <v>12</v>
      </c>
      <c r="B10" s="4" t="n">
        <v>256</v>
      </c>
      <c r="C10" s="4" t="n">
        <v>90</v>
      </c>
      <c r="D10" s="1" t="str">
        <f aca="false">A10&amp;B10&amp;C10</f>
        <v>NO SDWN25690</v>
      </c>
      <c r="E10" s="1" t="n">
        <v>0.2076</v>
      </c>
      <c r="F10" s="1" t="n">
        <v>0.19062</v>
      </c>
      <c r="G10" s="1" t="n">
        <v>0.12849</v>
      </c>
      <c r="H10" s="1" t="n">
        <v>0.15411</v>
      </c>
      <c r="I10" s="1" t="n">
        <v>0.07002</v>
      </c>
      <c r="J10" s="1" t="n">
        <v>0.11338</v>
      </c>
      <c r="K10" s="1" t="n">
        <v>0.04015</v>
      </c>
      <c r="L10" s="1" t="n">
        <v>0.08864</v>
      </c>
    </row>
    <row r="11" customFormat="false" ht="12.8" hidden="false" customHeight="false" outlineLevel="0" collapsed="false">
      <c r="A11" s="4" t="s">
        <v>12</v>
      </c>
      <c r="B11" s="4" t="n">
        <v>256</v>
      </c>
      <c r="C11" s="4" t="n">
        <v>100</v>
      </c>
      <c r="D11" s="1" t="str">
        <f aca="false">A11&amp;B11&amp;C11</f>
        <v>NO SDWN256100</v>
      </c>
      <c r="E11" s="1" t="n">
        <v>0.24157</v>
      </c>
      <c r="F11" s="1" t="n">
        <v>0.25343</v>
      </c>
      <c r="G11" s="1" t="n">
        <v>0.14382</v>
      </c>
      <c r="H11" s="1" t="n">
        <v>0.16577</v>
      </c>
      <c r="I11" s="1" t="n">
        <v>0.09649</v>
      </c>
      <c r="J11" s="1" t="n">
        <v>0.14779</v>
      </c>
      <c r="K11" s="1" t="n">
        <v>0.04791</v>
      </c>
      <c r="L11" s="1" t="n">
        <v>0.09868</v>
      </c>
    </row>
    <row r="12" customFormat="false" ht="12.8" hidden="false" customHeight="false" outlineLevel="0" collapsed="false">
      <c r="A12" s="4" t="s">
        <v>12</v>
      </c>
      <c r="B12" s="4" t="n">
        <v>512</v>
      </c>
      <c r="C12" s="4" t="n">
        <v>10</v>
      </c>
      <c r="D12" s="1" t="str">
        <f aca="false">A12&amp;B12&amp;C12</f>
        <v>NO SDWN51210</v>
      </c>
      <c r="E12" s="1" t="n">
        <v>0.01111</v>
      </c>
      <c r="F12" s="1" t="n">
        <v>0.04157</v>
      </c>
      <c r="G12" s="1" t="n">
        <v>0.00556</v>
      </c>
      <c r="H12" s="1" t="n">
        <v>0.02992</v>
      </c>
      <c r="I12" s="1" t="n">
        <v>0.025</v>
      </c>
      <c r="J12" s="1" t="n">
        <v>0.05951</v>
      </c>
      <c r="K12" s="1" t="n">
        <v>0.025</v>
      </c>
      <c r="L12" s="1" t="n">
        <v>0.05951</v>
      </c>
    </row>
    <row r="13" customFormat="false" ht="12.8" hidden="false" customHeight="false" outlineLevel="0" collapsed="false">
      <c r="A13" s="4" t="s">
        <v>12</v>
      </c>
      <c r="B13" s="4" t="n">
        <v>512</v>
      </c>
      <c r="C13" s="4" t="n">
        <v>20</v>
      </c>
      <c r="D13" s="1" t="str">
        <f aca="false">A13&amp;B13&amp;C13</f>
        <v>NO SDWN51220</v>
      </c>
      <c r="E13" s="1" t="n">
        <v>0.03333</v>
      </c>
      <c r="F13" s="1" t="n">
        <v>0.06667</v>
      </c>
      <c r="G13" s="1" t="n">
        <v>0.02333</v>
      </c>
      <c r="H13" s="1" t="n">
        <v>0.05783</v>
      </c>
      <c r="I13" s="1" t="n">
        <v>0.01</v>
      </c>
      <c r="J13" s="1" t="n">
        <v>0.03958</v>
      </c>
      <c r="K13" s="1" t="n">
        <v>0.00667</v>
      </c>
      <c r="L13" s="1" t="n">
        <v>0.03266</v>
      </c>
    </row>
    <row r="14" customFormat="false" ht="12.8" hidden="false" customHeight="false" outlineLevel="0" collapsed="false">
      <c r="A14" s="4" t="s">
        <v>12</v>
      </c>
      <c r="B14" s="4" t="n">
        <v>512</v>
      </c>
      <c r="C14" s="4" t="n">
        <v>30</v>
      </c>
      <c r="D14" s="1" t="str">
        <f aca="false">A14&amp;B14&amp;C14</f>
        <v>NO SDWN51230</v>
      </c>
      <c r="E14" s="1" t="n">
        <v>0.07083</v>
      </c>
      <c r="F14" s="1" t="n">
        <v>0.0865</v>
      </c>
      <c r="G14" s="1" t="n">
        <v>0.025</v>
      </c>
      <c r="H14" s="1" t="n">
        <v>0.05951</v>
      </c>
      <c r="I14" s="1" t="n">
        <v>0.0119</v>
      </c>
      <c r="J14" s="1" t="n">
        <v>0.04292</v>
      </c>
      <c r="K14" s="1" t="n">
        <v>0.0119</v>
      </c>
      <c r="L14" s="1" t="n">
        <v>0.04292</v>
      </c>
    </row>
    <row r="15" customFormat="false" ht="12.8" hidden="false" customHeight="false" outlineLevel="0" collapsed="false">
      <c r="A15" s="4" t="s">
        <v>12</v>
      </c>
      <c r="B15" s="4" t="n">
        <v>512</v>
      </c>
      <c r="C15" s="4" t="n">
        <v>40</v>
      </c>
      <c r="D15" s="1" t="str">
        <f aca="false">A15&amp;B15&amp;C15</f>
        <v>NO SDWN51240</v>
      </c>
      <c r="E15" s="1" t="n">
        <v>0.09833</v>
      </c>
      <c r="F15" s="1" t="n">
        <v>0.11079</v>
      </c>
      <c r="G15" s="1" t="n">
        <v>0.04833</v>
      </c>
      <c r="H15" s="1" t="n">
        <v>0.09515</v>
      </c>
      <c r="I15" s="1" t="n">
        <v>0.03872</v>
      </c>
      <c r="J15" s="1" t="n">
        <v>0.07427</v>
      </c>
      <c r="K15" s="1" t="n">
        <v>0.02333</v>
      </c>
      <c r="L15" s="1" t="n">
        <v>0.06245</v>
      </c>
    </row>
    <row r="16" customFormat="false" ht="12.8" hidden="false" customHeight="false" outlineLevel="0" collapsed="false">
      <c r="A16" s="4" t="s">
        <v>12</v>
      </c>
      <c r="B16" s="4" t="n">
        <v>512</v>
      </c>
      <c r="C16" s="4" t="n">
        <v>50</v>
      </c>
      <c r="D16" s="1" t="str">
        <f aca="false">A16&amp;B16&amp;C16</f>
        <v>NO SDWN51250</v>
      </c>
      <c r="E16" s="1" t="n">
        <v>0.10594</v>
      </c>
      <c r="F16" s="1" t="n">
        <v>0.10969</v>
      </c>
      <c r="G16" s="1" t="n">
        <v>0.05641</v>
      </c>
      <c r="H16" s="1" t="n">
        <v>0.09818</v>
      </c>
      <c r="I16" s="1" t="n">
        <v>0.04722</v>
      </c>
      <c r="J16" s="1" t="n">
        <v>0.08656</v>
      </c>
      <c r="K16" s="1" t="n">
        <v>0.02778</v>
      </c>
      <c r="L16" s="1" t="n">
        <v>0.06211</v>
      </c>
    </row>
    <row r="17" customFormat="false" ht="12.8" hidden="false" customHeight="false" outlineLevel="0" collapsed="false">
      <c r="A17" s="4" t="s">
        <v>12</v>
      </c>
      <c r="B17" s="4" t="n">
        <v>512</v>
      </c>
      <c r="C17" s="4" t="n">
        <v>60</v>
      </c>
      <c r="D17" s="1" t="str">
        <f aca="false">A17&amp;B17&amp;C17</f>
        <v>NO SDWN51260</v>
      </c>
      <c r="E17" s="1" t="n">
        <v>0.12444</v>
      </c>
      <c r="F17" s="1" t="n">
        <v>0.13497</v>
      </c>
      <c r="G17" s="1" t="n">
        <v>0.08725</v>
      </c>
      <c r="H17" s="1" t="n">
        <v>0.11994</v>
      </c>
      <c r="I17" s="1" t="n">
        <v>0.04</v>
      </c>
      <c r="J17" s="1" t="n">
        <v>0.08092</v>
      </c>
      <c r="K17" s="1" t="n">
        <v>0.49664</v>
      </c>
      <c r="L17" s="1" t="n">
        <v>5.64516</v>
      </c>
    </row>
    <row r="18" customFormat="false" ht="12.8" hidden="false" customHeight="false" outlineLevel="0" collapsed="false">
      <c r="A18" s="4" t="s">
        <v>12</v>
      </c>
      <c r="B18" s="4" t="n">
        <v>512</v>
      </c>
      <c r="C18" s="4" t="n">
        <v>70</v>
      </c>
      <c r="D18" s="1" t="str">
        <f aca="false">A18&amp;B18&amp;C18</f>
        <v>NO SDWN51270</v>
      </c>
      <c r="E18" s="1" t="n">
        <v>0.15185</v>
      </c>
      <c r="F18" s="1" t="n">
        <v>0.15142</v>
      </c>
      <c r="G18" s="1" t="n">
        <v>0.0959</v>
      </c>
      <c r="H18" s="1" t="n">
        <v>0.13049</v>
      </c>
      <c r="I18" s="1" t="n">
        <v>0.06448</v>
      </c>
      <c r="J18" s="1" t="n">
        <v>0.10747</v>
      </c>
      <c r="K18" s="1" t="n">
        <v>0.04043</v>
      </c>
      <c r="L18" s="1" t="n">
        <v>0.08794</v>
      </c>
    </row>
    <row r="19" customFormat="false" ht="12.8" hidden="false" customHeight="false" outlineLevel="0" collapsed="false">
      <c r="A19" s="4" t="s">
        <v>12</v>
      </c>
      <c r="B19" s="4" t="n">
        <v>512</v>
      </c>
      <c r="C19" s="4" t="n">
        <v>80</v>
      </c>
      <c r="D19" s="1" t="str">
        <f aca="false">A19&amp;B19&amp;C19</f>
        <v>NO SDWN51280</v>
      </c>
      <c r="E19" s="1" t="n">
        <v>0.20455</v>
      </c>
      <c r="F19" s="1" t="n">
        <v>0.17358</v>
      </c>
      <c r="G19" s="1" t="n">
        <v>0.10833</v>
      </c>
      <c r="H19" s="1" t="n">
        <v>0.14696</v>
      </c>
      <c r="I19" s="1" t="n">
        <v>0.07912</v>
      </c>
      <c r="J19" s="1" t="n">
        <v>0.11807</v>
      </c>
      <c r="K19" s="1" t="n">
        <v>0.04399</v>
      </c>
      <c r="L19" s="1" t="n">
        <v>0.09219</v>
      </c>
    </row>
    <row r="20" customFormat="false" ht="12.8" hidden="false" customHeight="false" outlineLevel="0" collapsed="false">
      <c r="A20" s="4" t="s">
        <v>12</v>
      </c>
      <c r="B20" s="4" t="n">
        <v>512</v>
      </c>
      <c r="C20" s="4" t="n">
        <v>90</v>
      </c>
      <c r="D20" s="1" t="str">
        <f aca="false">A20&amp;B20&amp;C20</f>
        <v>NO SDWN51290</v>
      </c>
      <c r="E20" s="1" t="n">
        <v>0.20029</v>
      </c>
      <c r="F20" s="1" t="n">
        <v>0.18885</v>
      </c>
      <c r="G20" s="1" t="n">
        <v>0.12865</v>
      </c>
      <c r="H20" s="1" t="n">
        <v>0.1514</v>
      </c>
      <c r="I20" s="1" t="n">
        <v>0.07154</v>
      </c>
      <c r="J20" s="1" t="n">
        <v>0.11793</v>
      </c>
      <c r="K20" s="1" t="n">
        <v>0.03636</v>
      </c>
      <c r="L20" s="1" t="n">
        <v>0.08221</v>
      </c>
    </row>
    <row r="21" customFormat="false" ht="12.8" hidden="false" customHeight="false" outlineLevel="0" collapsed="false">
      <c r="A21" s="4" t="s">
        <v>12</v>
      </c>
      <c r="B21" s="4" t="n">
        <v>512</v>
      </c>
      <c r="C21" s="4" t="n">
        <v>100</v>
      </c>
      <c r="D21" s="1" t="str">
        <f aca="false">A21&amp;B21&amp;C21</f>
        <v>NO SDWN512100</v>
      </c>
      <c r="E21" s="1" t="n">
        <v>0.266</v>
      </c>
      <c r="F21" s="1" t="n">
        <v>0.4269</v>
      </c>
      <c r="G21" s="1" t="n">
        <v>0.15194</v>
      </c>
      <c r="H21" s="1" t="n">
        <v>0.18235</v>
      </c>
      <c r="I21" s="1" t="n">
        <v>0.08768</v>
      </c>
      <c r="J21" s="1" t="n">
        <v>0.13693</v>
      </c>
      <c r="K21" s="1" t="n">
        <v>0.0504</v>
      </c>
      <c r="L21" s="1" t="n">
        <v>0.09833</v>
      </c>
    </row>
    <row r="22" customFormat="false" ht="12.8" hidden="false" customHeight="false" outlineLevel="0" collapsed="false">
      <c r="A22" s="4" t="s">
        <v>12</v>
      </c>
      <c r="B22" s="4" t="n">
        <v>1024</v>
      </c>
      <c r="C22" s="4" t="n">
        <v>10</v>
      </c>
      <c r="D22" s="1" t="str">
        <f aca="false">A22&amp;B22&amp;C22</f>
        <v>NO SDWN102410</v>
      </c>
      <c r="E22" s="1" t="n">
        <v>0.01111</v>
      </c>
      <c r="F22" s="1" t="n">
        <v>0.04157</v>
      </c>
      <c r="G22" s="1" t="n">
        <v>0.00556</v>
      </c>
      <c r="H22" s="1" t="n">
        <v>0.02992</v>
      </c>
      <c r="I22" s="1" t="n">
        <v>0.025</v>
      </c>
      <c r="J22" s="1" t="n">
        <v>0.05951</v>
      </c>
      <c r="K22" s="1" t="n">
        <v>0.025</v>
      </c>
      <c r="L22" s="1" t="n">
        <v>0.05951</v>
      </c>
    </row>
    <row r="23" customFormat="false" ht="12.8" hidden="false" customHeight="false" outlineLevel="0" collapsed="false">
      <c r="A23" s="4" t="s">
        <v>12</v>
      </c>
      <c r="B23" s="4" t="n">
        <v>1024</v>
      </c>
      <c r="C23" s="4" t="n">
        <v>20</v>
      </c>
      <c r="D23" s="1" t="str">
        <f aca="false">A23&amp;B23&amp;C23</f>
        <v>NO SDWN102420</v>
      </c>
      <c r="E23" s="1" t="n">
        <v>0.03333</v>
      </c>
      <c r="F23" s="1" t="n">
        <v>0.06667</v>
      </c>
      <c r="G23" s="1" t="n">
        <v>0.02333</v>
      </c>
      <c r="H23" s="1" t="n">
        <v>0.05783</v>
      </c>
      <c r="I23" s="1" t="n">
        <v>0.00667</v>
      </c>
      <c r="J23" s="1" t="n">
        <v>0.03266</v>
      </c>
      <c r="K23" s="1" t="n">
        <v>0.00667</v>
      </c>
      <c r="L23" s="1" t="n">
        <v>0.03266</v>
      </c>
    </row>
    <row r="24" customFormat="false" ht="12.8" hidden="false" customHeight="false" outlineLevel="0" collapsed="false">
      <c r="A24" s="4" t="s">
        <v>12</v>
      </c>
      <c r="B24" s="4" t="n">
        <v>1024</v>
      </c>
      <c r="C24" s="4" t="n">
        <v>30</v>
      </c>
      <c r="D24" s="1" t="str">
        <f aca="false">A24&amp;B24&amp;C24</f>
        <v>NO SDWN102430</v>
      </c>
      <c r="E24" s="1" t="n">
        <v>0.07083</v>
      </c>
      <c r="F24" s="1" t="n">
        <v>0.0865</v>
      </c>
      <c r="G24" s="1" t="n">
        <v>0.02292</v>
      </c>
      <c r="H24" s="1" t="n">
        <v>0.0574</v>
      </c>
      <c r="I24" s="1" t="n">
        <v>0.01429</v>
      </c>
      <c r="J24" s="1" t="n">
        <v>0.04666</v>
      </c>
      <c r="K24" s="1" t="n">
        <v>0.0119</v>
      </c>
      <c r="L24" s="1" t="n">
        <v>0.04292</v>
      </c>
    </row>
    <row r="25" customFormat="false" ht="12.8" hidden="false" customHeight="false" outlineLevel="0" collapsed="false">
      <c r="A25" s="4" t="s">
        <v>12</v>
      </c>
      <c r="B25" s="4" t="n">
        <v>1024</v>
      </c>
      <c r="C25" s="4" t="n">
        <v>40</v>
      </c>
      <c r="D25" s="1" t="str">
        <f aca="false">A25&amp;B25&amp;C25</f>
        <v>NO SDWN102440</v>
      </c>
      <c r="E25" s="1" t="n">
        <v>0.10667</v>
      </c>
      <c r="F25" s="1" t="n">
        <v>0.12138</v>
      </c>
      <c r="G25" s="1" t="n">
        <v>0.05</v>
      </c>
      <c r="H25" s="1" t="n">
        <v>0.09574</v>
      </c>
      <c r="I25" s="1" t="n">
        <v>0.03872</v>
      </c>
      <c r="J25" s="1" t="n">
        <v>0.07427</v>
      </c>
      <c r="K25" s="1" t="n">
        <v>0.02</v>
      </c>
      <c r="L25" s="1" t="n">
        <v>0.0636</v>
      </c>
    </row>
    <row r="26" customFormat="false" ht="12.8" hidden="false" customHeight="false" outlineLevel="0" collapsed="false">
      <c r="A26" s="4" t="s">
        <v>12</v>
      </c>
      <c r="B26" s="4" t="n">
        <v>1024</v>
      </c>
      <c r="C26" s="4" t="n">
        <v>50</v>
      </c>
      <c r="D26" s="1" t="str">
        <f aca="false">A26&amp;B26&amp;C26</f>
        <v>NO SDWN102450</v>
      </c>
      <c r="E26" s="1" t="n">
        <v>0.11628</v>
      </c>
      <c r="F26" s="1" t="n">
        <v>0.1203</v>
      </c>
      <c r="G26" s="1" t="n">
        <v>0.05685</v>
      </c>
      <c r="H26" s="1" t="n">
        <v>0.10059</v>
      </c>
      <c r="I26" s="1" t="n">
        <v>0.0375</v>
      </c>
      <c r="J26" s="1" t="n">
        <v>0.07596</v>
      </c>
      <c r="K26" s="1" t="n">
        <v>0.025</v>
      </c>
      <c r="L26" s="1" t="n">
        <v>0.05951</v>
      </c>
    </row>
    <row r="27" customFormat="false" ht="12.8" hidden="false" customHeight="false" outlineLevel="0" collapsed="false">
      <c r="A27" s="4" t="s">
        <v>12</v>
      </c>
      <c r="B27" s="4" t="n">
        <v>1024</v>
      </c>
      <c r="C27" s="4" t="n">
        <v>60</v>
      </c>
      <c r="D27" s="1" t="str">
        <f aca="false">A27&amp;B27&amp;C27</f>
        <v>NO SDWN102460</v>
      </c>
      <c r="E27" s="1" t="n">
        <v>0.1387</v>
      </c>
      <c r="F27" s="1" t="n">
        <v>0.13978</v>
      </c>
      <c r="G27" s="1" t="n">
        <v>0.09</v>
      </c>
      <c r="H27" s="1" t="n">
        <v>0.12565</v>
      </c>
      <c r="I27" s="1" t="n">
        <v>0.03667</v>
      </c>
      <c r="J27" s="1" t="n">
        <v>0.07905</v>
      </c>
      <c r="K27" s="1" t="n">
        <v>0.04027</v>
      </c>
      <c r="L27" s="1" t="n">
        <v>0.08339</v>
      </c>
    </row>
    <row r="28" customFormat="false" ht="12.8" hidden="false" customHeight="false" outlineLevel="0" collapsed="false">
      <c r="A28" s="4" t="s">
        <v>12</v>
      </c>
      <c r="B28" s="4" t="n">
        <v>1024</v>
      </c>
      <c r="C28" s="4" t="n">
        <v>70</v>
      </c>
      <c r="D28" s="1" t="str">
        <f aca="false">A28&amp;B28&amp;C28</f>
        <v>NO SDWN102470</v>
      </c>
      <c r="E28" s="1" t="n">
        <v>0.14074</v>
      </c>
      <c r="F28" s="1" t="n">
        <v>0.15597</v>
      </c>
      <c r="G28" s="1" t="n">
        <v>0.10185</v>
      </c>
      <c r="H28" s="1" t="n">
        <v>0.13765</v>
      </c>
      <c r="I28" s="1" t="n">
        <v>0.05456</v>
      </c>
      <c r="J28" s="1" t="n">
        <v>0.09708</v>
      </c>
      <c r="K28" s="1" t="n">
        <v>0.03493</v>
      </c>
      <c r="L28" s="1" t="n">
        <v>0.08123</v>
      </c>
    </row>
    <row r="29" customFormat="false" ht="12.8" hidden="false" customHeight="false" outlineLevel="0" collapsed="false">
      <c r="A29" s="4" t="s">
        <v>12</v>
      </c>
      <c r="B29" s="4" t="n">
        <v>1024</v>
      </c>
      <c r="C29" s="4" t="n">
        <v>80</v>
      </c>
      <c r="D29" s="1" t="str">
        <f aca="false">A29&amp;B29&amp;C29</f>
        <v>NO SDWN102480</v>
      </c>
      <c r="E29" s="1" t="n">
        <v>0.21608</v>
      </c>
      <c r="F29" s="1" t="n">
        <v>0.19682</v>
      </c>
      <c r="G29" s="1" t="n">
        <v>0.09715</v>
      </c>
      <c r="H29" s="1" t="n">
        <v>0.14775</v>
      </c>
      <c r="I29" s="1" t="n">
        <v>0.0867</v>
      </c>
      <c r="J29" s="1" t="n">
        <v>0.11928</v>
      </c>
      <c r="K29" s="1" t="n">
        <v>0.03853</v>
      </c>
      <c r="L29" s="1" t="n">
        <v>0.08468</v>
      </c>
    </row>
    <row r="30" customFormat="false" ht="12.8" hidden="false" customHeight="false" outlineLevel="0" collapsed="false">
      <c r="A30" s="4" t="s">
        <v>12</v>
      </c>
      <c r="B30" s="4" t="n">
        <v>1024</v>
      </c>
      <c r="C30" s="4" t="n">
        <v>90</v>
      </c>
      <c r="D30" s="1" t="str">
        <f aca="false">A30&amp;B30&amp;C30</f>
        <v>NO SDWN102490</v>
      </c>
      <c r="E30" s="1" t="n">
        <v>0.2205</v>
      </c>
      <c r="F30" s="1" t="n">
        <v>0.21077</v>
      </c>
      <c r="G30" s="1" t="n">
        <v>0.13304</v>
      </c>
      <c r="H30" s="1" t="n">
        <v>0.15481</v>
      </c>
      <c r="I30" s="1" t="n">
        <v>0.07263</v>
      </c>
      <c r="J30" s="1" t="n">
        <v>0.12031</v>
      </c>
      <c r="K30" s="1" t="n">
        <v>0.05379</v>
      </c>
      <c r="L30" s="1" t="n">
        <v>0.13488</v>
      </c>
    </row>
    <row r="31" customFormat="false" ht="12.8" hidden="false" customHeight="false" outlineLevel="0" collapsed="false">
      <c r="A31" s="4" t="s">
        <v>12</v>
      </c>
      <c r="B31" s="4" t="n">
        <v>1024</v>
      </c>
      <c r="C31" s="4" t="n">
        <v>100</v>
      </c>
      <c r="D31" s="1" t="str">
        <f aca="false">A31&amp;B31&amp;C31</f>
        <v>NO SDWN1024100</v>
      </c>
      <c r="E31" s="1" t="n">
        <v>0.28067</v>
      </c>
      <c r="F31" s="1" t="n">
        <v>0.64291</v>
      </c>
      <c r="G31" s="1" t="n">
        <v>0.15989</v>
      </c>
      <c r="H31" s="1" t="n">
        <v>0.17832</v>
      </c>
      <c r="I31" s="1" t="n">
        <v>0.09717</v>
      </c>
      <c r="J31" s="1" t="n">
        <v>0.14542</v>
      </c>
      <c r="K31" s="1" t="n">
        <v>0.05175</v>
      </c>
      <c r="L31" s="1" t="n">
        <v>0.10211</v>
      </c>
    </row>
    <row r="32" customFormat="false" ht="12.8" hidden="false" customHeight="false" outlineLevel="0" collapsed="false">
      <c r="A32" s="4" t="s">
        <v>13</v>
      </c>
      <c r="B32" s="4" t="n">
        <v>256</v>
      </c>
      <c r="C32" s="4" t="n">
        <v>10</v>
      </c>
      <c r="D32" s="1" t="str">
        <f aca="false">A32&amp;B32&amp;C32</f>
        <v>SDWN EDCA25610</v>
      </c>
      <c r="E32" s="1" t="n">
        <v>0.02778</v>
      </c>
      <c r="F32" s="1" t="n">
        <v>0.06211</v>
      </c>
      <c r="G32" s="1" t="n">
        <v>0</v>
      </c>
      <c r="H32" s="1" t="n">
        <v>0</v>
      </c>
      <c r="I32" s="1" t="n">
        <v>0.01667</v>
      </c>
      <c r="J32" s="1" t="n">
        <v>0.05</v>
      </c>
      <c r="K32" s="1" t="n">
        <v>0</v>
      </c>
      <c r="L32" s="1" t="n">
        <v>0</v>
      </c>
    </row>
    <row r="33" customFormat="false" ht="12.8" hidden="false" customHeight="false" outlineLevel="0" collapsed="false">
      <c r="A33" s="4" t="s">
        <v>13</v>
      </c>
      <c r="B33" s="4" t="n">
        <v>256</v>
      </c>
      <c r="C33" s="4" t="n">
        <v>20</v>
      </c>
      <c r="D33" s="1" t="str">
        <f aca="false">A33&amp;B33&amp;C33</f>
        <v>SDWN EDCA25620</v>
      </c>
      <c r="E33" s="1" t="n">
        <v>0.03</v>
      </c>
      <c r="F33" s="1" t="n">
        <v>0.06403</v>
      </c>
      <c r="G33" s="1" t="n">
        <v>0.03</v>
      </c>
      <c r="H33" s="1" t="n">
        <v>0.06403</v>
      </c>
      <c r="I33" s="1" t="n">
        <v>0.01</v>
      </c>
      <c r="J33" s="1" t="n">
        <v>0.03958</v>
      </c>
      <c r="K33" s="1" t="n">
        <v>0.00333</v>
      </c>
      <c r="L33" s="1" t="n">
        <v>0.02333</v>
      </c>
    </row>
    <row r="34" customFormat="false" ht="12.8" hidden="false" customHeight="false" outlineLevel="0" collapsed="false">
      <c r="A34" s="4" t="s">
        <v>13</v>
      </c>
      <c r="B34" s="4" t="n">
        <v>256</v>
      </c>
      <c r="C34" s="4" t="n">
        <v>30</v>
      </c>
      <c r="D34" s="1" t="str">
        <f aca="false">A34&amp;B34&amp;C34</f>
        <v>SDWN EDCA25630</v>
      </c>
      <c r="E34" s="1" t="n">
        <v>0.05485</v>
      </c>
      <c r="F34" s="1" t="n">
        <v>0.08268</v>
      </c>
      <c r="G34" s="1" t="n">
        <v>0.04375</v>
      </c>
      <c r="H34" s="1" t="n">
        <v>0.07792</v>
      </c>
      <c r="I34" s="1" t="n">
        <v>0.0119</v>
      </c>
      <c r="J34" s="1" t="n">
        <v>0.04292</v>
      </c>
      <c r="K34" s="1" t="n">
        <v>0.01449</v>
      </c>
      <c r="L34" s="1" t="n">
        <v>0.04696</v>
      </c>
    </row>
    <row r="35" customFormat="false" ht="12.8" hidden="false" customHeight="false" outlineLevel="0" collapsed="false">
      <c r="A35" s="4" t="s">
        <v>13</v>
      </c>
      <c r="B35" s="4" t="n">
        <v>256</v>
      </c>
      <c r="C35" s="4" t="n">
        <v>40</v>
      </c>
      <c r="D35" s="1" t="str">
        <f aca="false">A35&amp;B35&amp;C35</f>
        <v>SDWN EDCA25640</v>
      </c>
      <c r="E35" s="1" t="n">
        <v>0.08673</v>
      </c>
      <c r="F35" s="1" t="n">
        <v>0.09883</v>
      </c>
      <c r="G35" s="1" t="n">
        <v>0.03741</v>
      </c>
      <c r="H35" s="1" t="n">
        <v>0.06954</v>
      </c>
      <c r="I35" s="1" t="n">
        <v>0.02234</v>
      </c>
      <c r="J35" s="1" t="n">
        <v>0.05678</v>
      </c>
      <c r="K35" s="1" t="n">
        <v>0.01531</v>
      </c>
      <c r="L35" s="1" t="n">
        <v>0.04813</v>
      </c>
    </row>
    <row r="36" customFormat="false" ht="12.8" hidden="false" customHeight="false" outlineLevel="0" collapsed="false">
      <c r="A36" s="4" t="s">
        <v>13</v>
      </c>
      <c r="B36" s="4" t="n">
        <v>256</v>
      </c>
      <c r="C36" s="4" t="n">
        <v>50</v>
      </c>
      <c r="D36" s="1" t="str">
        <f aca="false">A36&amp;B36&amp;C36</f>
        <v>SDWN EDCA25650</v>
      </c>
      <c r="E36" s="1" t="n">
        <v>0.11795</v>
      </c>
      <c r="F36" s="1" t="n">
        <v>0.12308</v>
      </c>
      <c r="G36" s="1" t="n">
        <v>0.05469</v>
      </c>
      <c r="H36" s="1" t="n">
        <v>0.09796</v>
      </c>
      <c r="I36" s="1" t="n">
        <v>0.03361</v>
      </c>
      <c r="J36" s="1" t="n">
        <v>0.07028</v>
      </c>
      <c r="K36" s="1" t="n">
        <v>0.03056</v>
      </c>
      <c r="L36" s="1" t="n">
        <v>0.06798</v>
      </c>
    </row>
    <row r="37" customFormat="false" ht="12.8" hidden="false" customHeight="false" outlineLevel="0" collapsed="false">
      <c r="A37" s="4" t="s">
        <v>13</v>
      </c>
      <c r="B37" s="4" t="n">
        <v>256</v>
      </c>
      <c r="C37" s="4" t="n">
        <v>60</v>
      </c>
      <c r="D37" s="1" t="str">
        <f aca="false">A37&amp;B37&amp;C37</f>
        <v>SDWN EDCA25660</v>
      </c>
      <c r="E37" s="1" t="n">
        <v>0.14414</v>
      </c>
      <c r="F37" s="1" t="n">
        <v>0.14058</v>
      </c>
      <c r="G37" s="1" t="n">
        <v>0.09333</v>
      </c>
      <c r="H37" s="1" t="n">
        <v>0.12092</v>
      </c>
      <c r="I37" s="1" t="n">
        <v>0.04362</v>
      </c>
      <c r="J37" s="1" t="n">
        <v>0.08504</v>
      </c>
      <c r="K37" s="1" t="n">
        <v>0.02349</v>
      </c>
      <c r="L37" s="1" t="n">
        <v>0.06112</v>
      </c>
    </row>
    <row r="38" customFormat="false" ht="12.8" hidden="false" customHeight="false" outlineLevel="0" collapsed="false">
      <c r="A38" s="4" t="s">
        <v>13</v>
      </c>
      <c r="B38" s="4" t="n">
        <v>256</v>
      </c>
      <c r="C38" s="4" t="n">
        <v>70</v>
      </c>
      <c r="D38" s="1" t="str">
        <f aca="false">A38&amp;B38&amp;C38</f>
        <v>SDWN EDCA25670</v>
      </c>
      <c r="E38" s="1" t="n">
        <v>0.15093</v>
      </c>
      <c r="F38" s="1" t="n">
        <v>0.15486</v>
      </c>
      <c r="G38" s="1" t="n">
        <v>0.08473</v>
      </c>
      <c r="H38" s="1" t="n">
        <v>0.12252</v>
      </c>
      <c r="I38" s="1" t="n">
        <v>0.0496</v>
      </c>
      <c r="J38" s="1" t="n">
        <v>0.09372</v>
      </c>
      <c r="K38" s="1" t="n">
        <v>0.03649</v>
      </c>
      <c r="L38" s="1" t="n">
        <v>0.08199</v>
      </c>
    </row>
    <row r="39" customFormat="false" ht="12.8" hidden="false" customHeight="false" outlineLevel="0" collapsed="false">
      <c r="A39" s="4" t="s">
        <v>13</v>
      </c>
      <c r="B39" s="4" t="n">
        <v>256</v>
      </c>
      <c r="C39" s="4" t="n">
        <v>80</v>
      </c>
      <c r="D39" s="1" t="str">
        <f aca="false">A39&amp;B39&amp;C39</f>
        <v>SDWN EDCA25680</v>
      </c>
      <c r="E39" s="1" t="n">
        <v>0.17755</v>
      </c>
      <c r="F39" s="1" t="n">
        <v>0.17046</v>
      </c>
      <c r="G39" s="1" t="n">
        <v>0.10917</v>
      </c>
      <c r="H39" s="1" t="n">
        <v>0.14201</v>
      </c>
      <c r="I39" s="1" t="n">
        <v>0.08124</v>
      </c>
      <c r="J39" s="1" t="n">
        <v>0.11798</v>
      </c>
      <c r="K39" s="1" t="n">
        <v>0.03872</v>
      </c>
      <c r="L39" s="1" t="n">
        <v>0.08809</v>
      </c>
    </row>
    <row r="40" customFormat="false" ht="12.8" hidden="false" customHeight="false" outlineLevel="0" collapsed="false">
      <c r="A40" s="4" t="s">
        <v>13</v>
      </c>
      <c r="B40" s="4" t="n">
        <v>256</v>
      </c>
      <c r="C40" s="4" t="n">
        <v>90</v>
      </c>
      <c r="D40" s="1" t="str">
        <f aca="false">A40&amp;B40&amp;C40</f>
        <v>SDWN EDCA25690</v>
      </c>
      <c r="E40" s="1" t="n">
        <v>0.2067</v>
      </c>
      <c r="F40" s="1" t="n">
        <v>0.18878</v>
      </c>
      <c r="G40" s="1" t="n">
        <v>0.12591</v>
      </c>
      <c r="H40" s="1" t="n">
        <v>0.16198</v>
      </c>
      <c r="I40" s="1" t="n">
        <v>0.06346</v>
      </c>
      <c r="J40" s="1" t="n">
        <v>0.11478</v>
      </c>
      <c r="K40" s="1" t="n">
        <v>0.0344</v>
      </c>
      <c r="L40" s="1" t="n">
        <v>0.07959</v>
      </c>
    </row>
    <row r="41" customFormat="false" ht="12.8" hidden="false" customHeight="false" outlineLevel="0" collapsed="false">
      <c r="A41" s="4" t="s">
        <v>13</v>
      </c>
      <c r="B41" s="4" t="n">
        <v>256</v>
      </c>
      <c r="C41" s="4" t="n">
        <v>100</v>
      </c>
      <c r="D41" s="1" t="str">
        <f aca="false">A41&amp;B41&amp;C41</f>
        <v>SDWN EDCA256100</v>
      </c>
      <c r="E41" s="1" t="n">
        <v>0.25403</v>
      </c>
      <c r="F41" s="1" t="n">
        <v>0.2605</v>
      </c>
      <c r="G41" s="1" t="n">
        <v>0.13655</v>
      </c>
      <c r="H41" s="1" t="n">
        <v>0.16392</v>
      </c>
      <c r="I41" s="1" t="n">
        <v>0.07995</v>
      </c>
      <c r="J41" s="1" t="n">
        <v>0.13075</v>
      </c>
      <c r="K41" s="1" t="n">
        <v>0.04733</v>
      </c>
      <c r="L41" s="1" t="n">
        <v>0.09594</v>
      </c>
    </row>
    <row r="42" customFormat="false" ht="12.8" hidden="false" customHeight="false" outlineLevel="0" collapsed="false">
      <c r="A42" s="4" t="s">
        <v>13</v>
      </c>
      <c r="B42" s="4" t="n">
        <v>512</v>
      </c>
      <c r="C42" s="4" t="n">
        <v>10</v>
      </c>
      <c r="D42" s="1" t="str">
        <f aca="false">A42&amp;B42&amp;C42</f>
        <v>SDWN EDCA51210</v>
      </c>
      <c r="E42" s="1" t="n">
        <v>0.02778</v>
      </c>
      <c r="F42" s="1" t="n">
        <v>0.06211</v>
      </c>
      <c r="G42" s="1" t="n">
        <v>0</v>
      </c>
      <c r="H42" s="1" t="n">
        <v>0</v>
      </c>
      <c r="I42" s="1" t="n">
        <v>0.01667</v>
      </c>
      <c r="J42" s="1" t="n">
        <v>0.05</v>
      </c>
      <c r="K42" s="1" t="n">
        <v>0</v>
      </c>
      <c r="L42" s="1" t="n">
        <v>0</v>
      </c>
    </row>
    <row r="43" customFormat="false" ht="12.8" hidden="false" customHeight="false" outlineLevel="0" collapsed="false">
      <c r="A43" s="4" t="s">
        <v>13</v>
      </c>
      <c r="B43" s="4" t="n">
        <v>512</v>
      </c>
      <c r="C43" s="4" t="n">
        <v>20</v>
      </c>
      <c r="D43" s="1" t="str">
        <f aca="false">A43&amp;B43&amp;C43</f>
        <v>SDWN EDCA51220</v>
      </c>
      <c r="E43" s="1" t="n">
        <v>0.03</v>
      </c>
      <c r="F43" s="1" t="n">
        <v>0.06403</v>
      </c>
      <c r="G43" s="1" t="n">
        <v>0.03</v>
      </c>
      <c r="H43" s="1" t="n">
        <v>0.06403</v>
      </c>
      <c r="I43" s="1" t="n">
        <v>0.01</v>
      </c>
      <c r="J43" s="1" t="n">
        <v>0.03958</v>
      </c>
      <c r="K43" s="1" t="n">
        <v>0.00333</v>
      </c>
      <c r="L43" s="1" t="n">
        <v>0.02333</v>
      </c>
    </row>
    <row r="44" customFormat="false" ht="12.8" hidden="false" customHeight="false" outlineLevel="0" collapsed="false">
      <c r="A44" s="4" t="s">
        <v>13</v>
      </c>
      <c r="B44" s="4" t="n">
        <v>512</v>
      </c>
      <c r="C44" s="4" t="n">
        <v>30</v>
      </c>
      <c r="D44" s="1" t="str">
        <f aca="false">A44&amp;B44&amp;C44</f>
        <v>SDWN EDCA51230</v>
      </c>
      <c r="E44" s="1" t="n">
        <v>0.05696</v>
      </c>
      <c r="F44" s="1" t="n">
        <v>0.0875</v>
      </c>
      <c r="G44" s="1" t="n">
        <v>0.04583</v>
      </c>
      <c r="H44" s="1" t="n">
        <v>0.07442</v>
      </c>
      <c r="I44" s="1" t="n">
        <v>0.00952</v>
      </c>
      <c r="J44" s="1" t="n">
        <v>0.04786</v>
      </c>
      <c r="K44" s="1" t="n">
        <v>0.01449</v>
      </c>
      <c r="L44" s="1" t="n">
        <v>0.04696</v>
      </c>
    </row>
    <row r="45" customFormat="false" ht="12.8" hidden="false" customHeight="false" outlineLevel="0" collapsed="false">
      <c r="A45" s="4" t="s">
        <v>13</v>
      </c>
      <c r="B45" s="4" t="n">
        <v>512</v>
      </c>
      <c r="C45" s="4" t="n">
        <v>40</v>
      </c>
      <c r="D45" s="1" t="str">
        <f aca="false">A45&amp;B45&amp;C45</f>
        <v>SDWN EDCA51240</v>
      </c>
      <c r="E45" s="1" t="n">
        <v>0.09596</v>
      </c>
      <c r="F45" s="1" t="n">
        <v>0.11134</v>
      </c>
      <c r="G45" s="1" t="n">
        <v>0.04082</v>
      </c>
      <c r="H45" s="1" t="n">
        <v>0.07552</v>
      </c>
      <c r="I45" s="1" t="n">
        <v>0.02381</v>
      </c>
      <c r="J45" s="1" t="n">
        <v>0.05832</v>
      </c>
      <c r="K45" s="1" t="n">
        <v>0.01546</v>
      </c>
      <c r="L45" s="1" t="n">
        <v>0.04835</v>
      </c>
    </row>
    <row r="46" customFormat="false" ht="12.8" hidden="false" customHeight="false" outlineLevel="0" collapsed="false">
      <c r="A46" s="4" t="s">
        <v>13</v>
      </c>
      <c r="B46" s="4" t="n">
        <v>512</v>
      </c>
      <c r="C46" s="4" t="n">
        <v>50</v>
      </c>
      <c r="D46" s="1" t="str">
        <f aca="false">A46&amp;B46&amp;C46</f>
        <v>SDWN EDCA51250</v>
      </c>
      <c r="E46" s="1" t="n">
        <v>0.11282</v>
      </c>
      <c r="F46" s="1" t="n">
        <v>0.12268</v>
      </c>
      <c r="G46" s="1" t="n">
        <v>0.05685</v>
      </c>
      <c r="H46" s="1" t="n">
        <v>0.11271</v>
      </c>
      <c r="I46" s="1" t="n">
        <v>0.03056</v>
      </c>
      <c r="J46" s="1" t="n">
        <v>0.06798</v>
      </c>
      <c r="K46" s="1" t="n">
        <v>0.03056</v>
      </c>
      <c r="L46" s="1" t="n">
        <v>0.06798</v>
      </c>
    </row>
    <row r="47" customFormat="false" ht="12.8" hidden="false" customHeight="false" outlineLevel="0" collapsed="false">
      <c r="A47" s="4" t="s">
        <v>13</v>
      </c>
      <c r="B47" s="4" t="n">
        <v>512</v>
      </c>
      <c r="C47" s="4" t="n">
        <v>60</v>
      </c>
      <c r="D47" s="1" t="str">
        <f aca="false">A47&amp;B47&amp;C47</f>
        <v>SDWN EDCA51260</v>
      </c>
      <c r="E47" s="1" t="n">
        <v>0.13535</v>
      </c>
      <c r="F47" s="1" t="n">
        <v>0.1384</v>
      </c>
      <c r="G47" s="1" t="n">
        <v>0.09444</v>
      </c>
      <c r="H47" s="1" t="n">
        <v>0.1297</v>
      </c>
      <c r="I47" s="1" t="n">
        <v>0.04222</v>
      </c>
      <c r="J47" s="1" t="n">
        <v>0.09267</v>
      </c>
      <c r="K47" s="1" t="n">
        <v>0.03915</v>
      </c>
      <c r="L47" s="1" t="n">
        <v>0.08503</v>
      </c>
    </row>
    <row r="48" customFormat="false" ht="12.8" hidden="false" customHeight="false" outlineLevel="0" collapsed="false">
      <c r="A48" s="4" t="s">
        <v>13</v>
      </c>
      <c r="B48" s="4" t="n">
        <v>512</v>
      </c>
      <c r="C48" s="4" t="n">
        <v>70</v>
      </c>
      <c r="D48" s="1" t="str">
        <f aca="false">A48&amp;B48&amp;C48</f>
        <v>SDWN EDCA51270</v>
      </c>
      <c r="E48" s="1" t="n">
        <v>0.1463</v>
      </c>
      <c r="F48" s="1" t="n">
        <v>0.1445</v>
      </c>
      <c r="G48" s="1" t="n">
        <v>0.08752</v>
      </c>
      <c r="H48" s="1" t="n">
        <v>0.12372</v>
      </c>
      <c r="I48" s="1" t="n">
        <v>0.05917</v>
      </c>
      <c r="J48" s="1" t="n">
        <v>0.10312</v>
      </c>
      <c r="K48" s="1" t="n">
        <v>0.02549</v>
      </c>
      <c r="L48" s="1" t="n">
        <v>0.06767</v>
      </c>
    </row>
    <row r="49" customFormat="false" ht="12.8" hidden="false" customHeight="false" outlineLevel="0" collapsed="false">
      <c r="A49" s="4" t="s">
        <v>13</v>
      </c>
      <c r="B49" s="4" t="n">
        <v>512</v>
      </c>
      <c r="C49" s="4" t="n">
        <v>80</v>
      </c>
      <c r="D49" s="1" t="str">
        <f aca="false">A49&amp;B49&amp;C49</f>
        <v>SDWN EDCA51280</v>
      </c>
      <c r="E49" s="1" t="n">
        <v>0.17667</v>
      </c>
      <c r="F49" s="1" t="n">
        <v>0.17372</v>
      </c>
      <c r="G49" s="1" t="n">
        <v>0.10302</v>
      </c>
      <c r="H49" s="1" t="n">
        <v>0.12778</v>
      </c>
      <c r="I49" s="1" t="n">
        <v>0.07997</v>
      </c>
      <c r="J49" s="1" t="n">
        <v>0.1181</v>
      </c>
      <c r="K49" s="1" t="n">
        <v>0.02848</v>
      </c>
      <c r="L49" s="1" t="n">
        <v>0.06492</v>
      </c>
    </row>
    <row r="50" customFormat="false" ht="12.8" hidden="false" customHeight="false" outlineLevel="0" collapsed="false">
      <c r="A50" s="4" t="s">
        <v>13</v>
      </c>
      <c r="B50" s="4" t="n">
        <v>512</v>
      </c>
      <c r="C50" s="4" t="n">
        <v>90</v>
      </c>
      <c r="D50" s="1" t="str">
        <f aca="false">A50&amp;B50&amp;C50</f>
        <v>SDWN EDCA51290</v>
      </c>
      <c r="E50" s="1" t="n">
        <v>0.27948</v>
      </c>
      <c r="F50" s="1" t="n">
        <v>0.9154</v>
      </c>
      <c r="G50" s="1" t="n">
        <v>0.12445</v>
      </c>
      <c r="H50" s="1" t="n">
        <v>0.16532</v>
      </c>
      <c r="I50" s="1" t="n">
        <v>0.07757</v>
      </c>
      <c r="J50" s="1" t="n">
        <v>0.12496</v>
      </c>
      <c r="K50" s="1" t="n">
        <v>0.03823</v>
      </c>
      <c r="L50" s="1" t="n">
        <v>0.08487</v>
      </c>
    </row>
    <row r="51" customFormat="false" ht="12.8" hidden="false" customHeight="false" outlineLevel="0" collapsed="false">
      <c r="A51" s="4" t="s">
        <v>13</v>
      </c>
      <c r="B51" s="4" t="n">
        <v>512</v>
      </c>
      <c r="C51" s="4" t="n">
        <v>100</v>
      </c>
      <c r="D51" s="1" t="str">
        <f aca="false">A51&amp;B51&amp;C51</f>
        <v>SDWN EDCA512100</v>
      </c>
      <c r="E51" s="1" t="n">
        <v>0.31452</v>
      </c>
      <c r="F51" s="1" t="n">
        <v>0.66404</v>
      </c>
      <c r="G51" s="1" t="n">
        <v>0.15924</v>
      </c>
      <c r="H51" s="1" t="n">
        <v>0.26416</v>
      </c>
      <c r="I51" s="1" t="n">
        <v>0.07422</v>
      </c>
      <c r="J51" s="1" t="n">
        <v>0.11857</v>
      </c>
      <c r="K51" s="1" t="n">
        <v>0.03962</v>
      </c>
      <c r="L51" s="1" t="n">
        <v>0.0855</v>
      </c>
    </row>
    <row r="52" customFormat="false" ht="12.8" hidden="false" customHeight="false" outlineLevel="0" collapsed="false">
      <c r="A52" s="4" t="s">
        <v>13</v>
      </c>
      <c r="B52" s="4" t="n">
        <v>1024</v>
      </c>
      <c r="C52" s="4" t="n">
        <v>10</v>
      </c>
      <c r="D52" s="1" t="str">
        <f aca="false">A52&amp;B52&amp;C52</f>
        <v>SDWN EDCA102410</v>
      </c>
      <c r="E52" s="1" t="n">
        <v>0.02778</v>
      </c>
      <c r="F52" s="1" t="n">
        <v>0.06211</v>
      </c>
      <c r="G52" s="1" t="n">
        <v>0</v>
      </c>
      <c r="H52" s="1" t="n">
        <v>0</v>
      </c>
      <c r="I52" s="1" t="n">
        <v>0.01667</v>
      </c>
      <c r="J52" s="1" t="n">
        <v>0.05</v>
      </c>
      <c r="K52" s="1" t="n">
        <v>0</v>
      </c>
      <c r="L52" s="1" t="n">
        <v>0</v>
      </c>
    </row>
    <row r="53" customFormat="false" ht="12.8" hidden="false" customHeight="false" outlineLevel="0" collapsed="false">
      <c r="A53" s="4" t="s">
        <v>13</v>
      </c>
      <c r="B53" s="4" t="n">
        <v>1024</v>
      </c>
      <c r="C53" s="4" t="n">
        <v>20</v>
      </c>
      <c r="D53" s="1" t="str">
        <f aca="false">A53&amp;B53&amp;C53</f>
        <v>SDWN EDCA102420</v>
      </c>
      <c r="E53" s="1" t="n">
        <v>0.03333</v>
      </c>
      <c r="F53" s="1" t="n">
        <v>0.06667</v>
      </c>
      <c r="G53" s="1" t="n">
        <v>0.02667</v>
      </c>
      <c r="H53" s="1" t="n">
        <v>0.0611</v>
      </c>
      <c r="I53" s="1" t="n">
        <v>0.01</v>
      </c>
      <c r="J53" s="1" t="n">
        <v>0.03958</v>
      </c>
      <c r="K53" s="1" t="n">
        <v>0</v>
      </c>
      <c r="L53" s="1" t="n">
        <v>0</v>
      </c>
    </row>
    <row r="54" customFormat="false" ht="12.8" hidden="false" customHeight="false" outlineLevel="0" collapsed="false">
      <c r="A54" s="4" t="s">
        <v>13</v>
      </c>
      <c r="B54" s="4" t="n">
        <v>1024</v>
      </c>
      <c r="C54" s="4" t="n">
        <v>30</v>
      </c>
      <c r="D54" s="1" t="str">
        <f aca="false">A54&amp;B54&amp;C54</f>
        <v>SDWN EDCA102430</v>
      </c>
      <c r="E54" s="1" t="n">
        <v>0.05274</v>
      </c>
      <c r="F54" s="1" t="n">
        <v>0.08193</v>
      </c>
      <c r="G54" s="1" t="n">
        <v>0.04375</v>
      </c>
      <c r="H54" s="1" t="n">
        <v>0.07792</v>
      </c>
      <c r="I54" s="1" t="n">
        <v>0.00952</v>
      </c>
      <c r="J54" s="1" t="n">
        <v>0.03869</v>
      </c>
      <c r="K54" s="1" t="n">
        <v>0.01932</v>
      </c>
      <c r="L54" s="1" t="n">
        <v>0.05336</v>
      </c>
    </row>
    <row r="55" customFormat="false" ht="12.8" hidden="false" customHeight="false" outlineLevel="0" collapsed="false">
      <c r="A55" s="4" t="s">
        <v>13</v>
      </c>
      <c r="B55" s="4" t="n">
        <v>1024</v>
      </c>
      <c r="C55" s="4" t="n">
        <v>40</v>
      </c>
      <c r="D55" s="1" t="str">
        <f aca="false">A55&amp;B55&amp;C55</f>
        <v>SDWN EDCA102440</v>
      </c>
      <c r="E55" s="1" t="n">
        <v>0.08844</v>
      </c>
      <c r="F55" s="1" t="n">
        <v>0.10159</v>
      </c>
      <c r="G55" s="1" t="n">
        <v>0.03535</v>
      </c>
      <c r="H55" s="1" t="n">
        <v>0.07954</v>
      </c>
      <c r="I55" s="1" t="n">
        <v>0.03231</v>
      </c>
      <c r="J55" s="1" t="n">
        <v>0.06589</v>
      </c>
      <c r="K55" s="1" t="n">
        <v>0.0101</v>
      </c>
      <c r="L55" s="1" t="n">
        <v>0.04629</v>
      </c>
    </row>
    <row r="56" customFormat="false" ht="12.8" hidden="false" customHeight="false" outlineLevel="0" collapsed="false">
      <c r="A56" s="4" t="s">
        <v>13</v>
      </c>
      <c r="B56" s="4" t="n">
        <v>1024</v>
      </c>
      <c r="C56" s="4" t="n">
        <v>50</v>
      </c>
      <c r="D56" s="1" t="str">
        <f aca="false">A56&amp;B56&amp;C56</f>
        <v>SDWN EDCA102450</v>
      </c>
      <c r="E56" s="1" t="n">
        <v>0.11154</v>
      </c>
      <c r="F56" s="1" t="n">
        <v>0.11765</v>
      </c>
      <c r="G56" s="1" t="n">
        <v>0.05814</v>
      </c>
      <c r="H56" s="1" t="n">
        <v>0.1051</v>
      </c>
      <c r="I56" s="1" t="n">
        <v>0.02917</v>
      </c>
      <c r="J56" s="1" t="n">
        <v>0.06333</v>
      </c>
      <c r="K56" s="1" t="n">
        <v>0.02361</v>
      </c>
      <c r="L56" s="1" t="n">
        <v>0.06197</v>
      </c>
    </row>
    <row r="57" customFormat="false" ht="12.8" hidden="false" customHeight="false" outlineLevel="0" collapsed="false">
      <c r="A57" s="4" t="s">
        <v>13</v>
      </c>
      <c r="B57" s="4" t="n">
        <v>1024</v>
      </c>
      <c r="C57" s="4" t="n">
        <v>60</v>
      </c>
      <c r="D57" s="1" t="str">
        <f aca="false">A57&amp;B57&amp;C57</f>
        <v>SDWN EDCA102460</v>
      </c>
      <c r="E57" s="1" t="n">
        <v>0.14541</v>
      </c>
      <c r="F57" s="1" t="n">
        <v>0.14227</v>
      </c>
      <c r="G57" s="1" t="n">
        <v>0.07889</v>
      </c>
      <c r="H57" s="1" t="n">
        <v>0.11658</v>
      </c>
      <c r="I57" s="1" t="n">
        <v>0.04778</v>
      </c>
      <c r="J57" s="1" t="n">
        <v>0.09096</v>
      </c>
      <c r="K57" s="1" t="n">
        <v>0.03915</v>
      </c>
      <c r="L57" s="1" t="n">
        <v>0.08503</v>
      </c>
    </row>
    <row r="58" customFormat="false" ht="12.8" hidden="false" customHeight="false" outlineLevel="0" collapsed="false">
      <c r="A58" s="4" t="s">
        <v>13</v>
      </c>
      <c r="B58" s="4" t="n">
        <v>1024</v>
      </c>
      <c r="C58" s="4" t="n">
        <v>70</v>
      </c>
      <c r="D58" s="1" t="str">
        <f aca="false">A58&amp;B58&amp;C58</f>
        <v>SDWN EDCA102470</v>
      </c>
      <c r="E58" s="1" t="n">
        <v>0.14618</v>
      </c>
      <c r="F58" s="1" t="n">
        <v>0.14382</v>
      </c>
      <c r="G58" s="1" t="n">
        <v>0.08659</v>
      </c>
      <c r="H58" s="1" t="n">
        <v>0.12375</v>
      </c>
      <c r="I58" s="1" t="n">
        <v>0.05689</v>
      </c>
      <c r="J58" s="1" t="n">
        <v>0.10281</v>
      </c>
      <c r="K58" s="1" t="n">
        <v>0.02282</v>
      </c>
      <c r="L58" s="1" t="n">
        <v>0.0628</v>
      </c>
    </row>
    <row r="59" customFormat="false" ht="12.8" hidden="false" customHeight="false" outlineLevel="0" collapsed="false">
      <c r="A59" s="4" t="s">
        <v>13</v>
      </c>
      <c r="B59" s="4" t="n">
        <v>1024</v>
      </c>
      <c r="C59" s="4" t="n">
        <v>80</v>
      </c>
      <c r="D59" s="1" t="str">
        <f aca="false">A59&amp;B59&amp;C59</f>
        <v>SDWN EDCA102480</v>
      </c>
      <c r="E59" s="1" t="n">
        <v>0.18182</v>
      </c>
      <c r="F59" s="1" t="n">
        <v>0.16766</v>
      </c>
      <c r="G59" s="1" t="n">
        <v>0.0975</v>
      </c>
      <c r="H59" s="1" t="n">
        <v>0.1294</v>
      </c>
      <c r="I59" s="1" t="n">
        <v>0.07789</v>
      </c>
      <c r="J59" s="1" t="n">
        <v>0.11668</v>
      </c>
      <c r="K59" s="1" t="n">
        <v>0.03601</v>
      </c>
      <c r="L59" s="1" t="n">
        <v>0.08659</v>
      </c>
    </row>
    <row r="60" customFormat="false" ht="12.8" hidden="false" customHeight="false" outlineLevel="0" collapsed="false">
      <c r="A60" s="4" t="s">
        <v>13</v>
      </c>
      <c r="B60" s="4" t="n">
        <v>1024</v>
      </c>
      <c r="C60" s="4" t="n">
        <v>90</v>
      </c>
      <c r="D60" s="1" t="str">
        <f aca="false">A60&amp;B60&amp;C60</f>
        <v>SDWN EDCA102490</v>
      </c>
      <c r="E60" s="1" t="n">
        <v>0.2511</v>
      </c>
      <c r="F60" s="1" t="n">
        <v>0.39216</v>
      </c>
      <c r="G60" s="1" t="n">
        <v>0.14928</v>
      </c>
      <c r="H60" s="1" t="n">
        <v>0.28605</v>
      </c>
      <c r="I60" s="1" t="n">
        <v>0.06667</v>
      </c>
      <c r="J60" s="1" t="n">
        <v>0.10469</v>
      </c>
      <c r="K60" s="1" t="n">
        <v>0.03881</v>
      </c>
      <c r="L60" s="1" t="n">
        <v>0.08948</v>
      </c>
    </row>
    <row r="61" customFormat="false" ht="12.8" hidden="false" customHeight="false" outlineLevel="0" collapsed="false">
      <c r="A61" s="4" t="s">
        <v>13</v>
      </c>
      <c r="B61" s="4" t="n">
        <v>1024</v>
      </c>
      <c r="C61" s="4" t="n">
        <v>100</v>
      </c>
      <c r="D61" s="1" t="str">
        <f aca="false">A61&amp;B61&amp;C61</f>
        <v>SDWN EDCA1024100</v>
      </c>
      <c r="E61" s="1" t="n">
        <v>0.4254</v>
      </c>
      <c r="F61" s="1" t="n">
        <v>0.99164</v>
      </c>
      <c r="G61" s="1" t="n">
        <v>0.2834</v>
      </c>
      <c r="H61" s="1" t="n">
        <v>1.26111</v>
      </c>
      <c r="I61" s="1" t="n">
        <v>0.07733</v>
      </c>
      <c r="J61" s="1" t="n">
        <v>0.12391</v>
      </c>
      <c r="K61" s="1" t="n">
        <v>0.04435</v>
      </c>
      <c r="L61" s="1" t="n">
        <v>0.09131</v>
      </c>
    </row>
    <row r="62" customFormat="false" ht="12.8" hidden="false" customHeight="false" outlineLevel="0" collapsed="false">
      <c r="A62" s="4" t="s">
        <v>14</v>
      </c>
      <c r="B62" s="4" t="n">
        <v>256</v>
      </c>
      <c r="C62" s="4" t="n">
        <v>10</v>
      </c>
      <c r="D62" s="1" t="str">
        <f aca="false">A62&amp;B62&amp;C62</f>
        <v>SDWN MOD25610</v>
      </c>
      <c r="E62" s="0" t="n">
        <v>0.02778</v>
      </c>
      <c r="F62" s="0" t="n">
        <v>0.06211</v>
      </c>
      <c r="G62" s="0" t="n">
        <v>0</v>
      </c>
      <c r="H62" s="0" t="n">
        <v>0</v>
      </c>
      <c r="I62" s="0" t="n">
        <v>0.01667</v>
      </c>
      <c r="J62" s="0" t="n">
        <v>0.05</v>
      </c>
      <c r="K62" s="0" t="n">
        <v>0</v>
      </c>
      <c r="L62" s="0" t="n">
        <v>0</v>
      </c>
    </row>
    <row r="63" customFormat="false" ht="12.8" hidden="false" customHeight="false" outlineLevel="0" collapsed="false">
      <c r="A63" s="4" t="s">
        <v>14</v>
      </c>
      <c r="B63" s="4" t="n">
        <v>256</v>
      </c>
      <c r="C63" s="4" t="n">
        <v>20</v>
      </c>
      <c r="D63" s="1" t="str">
        <f aca="false">A63&amp;B63&amp;C63</f>
        <v>SDWN MOD25620</v>
      </c>
      <c r="E63" s="0" t="n">
        <v>0.03</v>
      </c>
      <c r="F63" s="0" t="n">
        <v>0.06403</v>
      </c>
      <c r="G63" s="0" t="n">
        <v>0.03</v>
      </c>
      <c r="H63" s="0" t="n">
        <v>0.06403</v>
      </c>
      <c r="I63" s="0" t="n">
        <v>0.01</v>
      </c>
      <c r="J63" s="0" t="n">
        <v>0.03958</v>
      </c>
      <c r="K63" s="0" t="n">
        <v>0</v>
      </c>
      <c r="L63" s="0" t="n">
        <v>0</v>
      </c>
    </row>
    <row r="64" customFormat="false" ht="12.8" hidden="false" customHeight="false" outlineLevel="0" collapsed="false">
      <c r="A64" s="4" t="s">
        <v>14</v>
      </c>
      <c r="B64" s="4" t="n">
        <v>256</v>
      </c>
      <c r="C64" s="4" t="n">
        <v>30</v>
      </c>
      <c r="D64" s="1" t="str">
        <f aca="false">A64&amp;B64&amp;C64</f>
        <v>SDWN MOD25630</v>
      </c>
      <c r="E64" s="0" t="n">
        <v>0.05417</v>
      </c>
      <c r="F64" s="0" t="n">
        <v>0.07806</v>
      </c>
      <c r="G64" s="0" t="n">
        <v>0.03333</v>
      </c>
      <c r="H64" s="0" t="n">
        <v>0.06667</v>
      </c>
      <c r="I64" s="0" t="n">
        <v>0.00952</v>
      </c>
      <c r="J64" s="0" t="n">
        <v>0.03869</v>
      </c>
      <c r="K64" s="0" t="n">
        <v>0.00714</v>
      </c>
      <c r="L64" s="0" t="n">
        <v>0.03376</v>
      </c>
    </row>
    <row r="65" customFormat="false" ht="12.8" hidden="false" customHeight="false" outlineLevel="0" collapsed="false">
      <c r="A65" s="4" t="s">
        <v>14</v>
      </c>
      <c r="B65" s="4" t="n">
        <v>256</v>
      </c>
      <c r="C65" s="4" t="n">
        <v>40</v>
      </c>
      <c r="D65" s="1" t="str">
        <f aca="false">A65&amp;B65&amp;C65</f>
        <v>SDWN MOD25640</v>
      </c>
      <c r="E65" s="0" t="n">
        <v>0.08167</v>
      </c>
      <c r="F65" s="0" t="n">
        <v>0.08332</v>
      </c>
      <c r="G65" s="0" t="n">
        <v>0.01347</v>
      </c>
      <c r="H65" s="0" t="n">
        <v>0.04542</v>
      </c>
      <c r="I65" s="0" t="n">
        <v>0.01852</v>
      </c>
      <c r="J65" s="0" t="n">
        <v>0.05238</v>
      </c>
      <c r="K65" s="0" t="n">
        <v>0.00168</v>
      </c>
      <c r="L65" s="0" t="n">
        <v>0.01667</v>
      </c>
    </row>
    <row r="66" customFormat="false" ht="12.8" hidden="false" customHeight="false" outlineLevel="0" collapsed="false">
      <c r="A66" s="4" t="s">
        <v>14</v>
      </c>
      <c r="B66" s="4" t="n">
        <v>256</v>
      </c>
      <c r="C66" s="4" t="n">
        <v>50</v>
      </c>
      <c r="D66" s="1" t="str">
        <f aca="false">A66&amp;B66&amp;C66</f>
        <v>SDWN MOD25650</v>
      </c>
      <c r="E66" s="0" t="n">
        <v>0.08656</v>
      </c>
      <c r="F66" s="0" t="n">
        <v>0.08582</v>
      </c>
      <c r="G66" s="0" t="n">
        <v>0.02308</v>
      </c>
      <c r="H66" s="0" t="n">
        <v>0.05756</v>
      </c>
      <c r="I66" s="0" t="n">
        <v>0.01389</v>
      </c>
      <c r="J66" s="0" t="n">
        <v>0.04606</v>
      </c>
      <c r="K66" s="0" t="n">
        <v>0.00139</v>
      </c>
      <c r="L66" s="0" t="n">
        <v>0.01515</v>
      </c>
    </row>
    <row r="67" customFormat="false" ht="12.8" hidden="false" customHeight="false" outlineLevel="0" collapsed="false">
      <c r="A67" s="4" t="s">
        <v>14</v>
      </c>
      <c r="B67" s="4" t="n">
        <v>256</v>
      </c>
      <c r="C67" s="4" t="n">
        <v>60</v>
      </c>
      <c r="D67" s="1" t="str">
        <f aca="false">A67&amp;B67&amp;C67</f>
        <v>SDWN MOD25660</v>
      </c>
      <c r="E67" s="0" t="n">
        <v>0.09732</v>
      </c>
      <c r="F67" s="0" t="n">
        <v>0.09078</v>
      </c>
      <c r="G67" s="0" t="n">
        <v>0.03915</v>
      </c>
      <c r="H67" s="0" t="n">
        <v>0.07325</v>
      </c>
      <c r="I67" s="0" t="n">
        <v>0.00444</v>
      </c>
      <c r="J67" s="0" t="n">
        <v>0.02685</v>
      </c>
      <c r="K67" s="0" t="n">
        <v>0</v>
      </c>
      <c r="L67" s="0" t="n">
        <v>0</v>
      </c>
    </row>
    <row r="68" customFormat="false" ht="12.8" hidden="false" customHeight="false" outlineLevel="0" collapsed="false">
      <c r="A68" s="4" t="s">
        <v>14</v>
      </c>
      <c r="B68" s="4" t="n">
        <v>256</v>
      </c>
      <c r="C68" s="4" t="n">
        <v>70</v>
      </c>
      <c r="D68" s="1" t="str">
        <f aca="false">A68&amp;B68&amp;C68</f>
        <v>SDWN MOD25670</v>
      </c>
      <c r="E68" s="0" t="n">
        <v>0.09032</v>
      </c>
      <c r="F68" s="0" t="n">
        <v>0.09021</v>
      </c>
      <c r="G68" s="0" t="n">
        <v>0.02793</v>
      </c>
      <c r="H68" s="0" t="n">
        <v>0.06225</v>
      </c>
      <c r="I68" s="0" t="n">
        <v>0</v>
      </c>
      <c r="J68" s="0" t="n">
        <v>0</v>
      </c>
      <c r="K68" s="0" t="n">
        <v>0</v>
      </c>
      <c r="L68" s="0" t="n">
        <v>0</v>
      </c>
    </row>
    <row r="69" customFormat="false" ht="12.8" hidden="false" customHeight="false" outlineLevel="0" collapsed="false">
      <c r="A69" s="4" t="s">
        <v>14</v>
      </c>
      <c r="B69" s="4" t="n">
        <v>256</v>
      </c>
      <c r="C69" s="4" t="n">
        <v>80</v>
      </c>
      <c r="D69" s="1" t="str">
        <f aca="false">A69&amp;B69&amp;C69</f>
        <v>SDWN MOD25680</v>
      </c>
      <c r="E69" s="0" t="n">
        <v>0.09583</v>
      </c>
      <c r="F69" s="0" t="n">
        <v>0.09043</v>
      </c>
      <c r="G69" s="0" t="n">
        <v>0.02189</v>
      </c>
      <c r="H69" s="0" t="n">
        <v>0.05629</v>
      </c>
      <c r="I69" s="0" t="n">
        <v>0.00421</v>
      </c>
      <c r="J69" s="0" t="n">
        <v>0.02615</v>
      </c>
      <c r="K69" s="0" t="n">
        <v>0</v>
      </c>
      <c r="L69" s="0" t="n">
        <v>0</v>
      </c>
    </row>
    <row r="70" customFormat="false" ht="12.8" hidden="false" customHeight="false" outlineLevel="0" collapsed="false">
      <c r="A70" s="4" t="s">
        <v>14</v>
      </c>
      <c r="B70" s="4" t="n">
        <v>256</v>
      </c>
      <c r="C70" s="4" t="n">
        <v>90</v>
      </c>
      <c r="D70" s="1" t="str">
        <f aca="false">A70&amp;B70&amp;C70</f>
        <v>SDWN MOD25690</v>
      </c>
      <c r="E70" s="0" t="n">
        <v>0.09503</v>
      </c>
      <c r="F70" s="0" t="n">
        <v>0.09487</v>
      </c>
      <c r="G70" s="0" t="n">
        <v>0.02536</v>
      </c>
      <c r="H70" s="0" t="n">
        <v>0.06377</v>
      </c>
      <c r="I70" s="0" t="n">
        <v>0.00909</v>
      </c>
      <c r="J70" s="0" t="n">
        <v>0.03785</v>
      </c>
      <c r="K70" s="0" t="n">
        <v>0.00306</v>
      </c>
      <c r="L70" s="0" t="n">
        <v>0.02237</v>
      </c>
    </row>
    <row r="71" customFormat="false" ht="12.8" hidden="false" customHeight="false" outlineLevel="0" collapsed="false">
      <c r="A71" s="4" t="s">
        <v>14</v>
      </c>
      <c r="B71" s="4" t="n">
        <v>256</v>
      </c>
      <c r="C71" s="4" t="n">
        <v>100</v>
      </c>
      <c r="D71" s="1" t="str">
        <f aca="false">A71&amp;B71&amp;C71</f>
        <v>SDWN MOD256100</v>
      </c>
      <c r="E71" s="0" t="n">
        <v>0.09946</v>
      </c>
      <c r="F71" s="0" t="n">
        <v>0.09328</v>
      </c>
      <c r="G71" s="0" t="n">
        <v>0.02008</v>
      </c>
      <c r="H71" s="0" t="n">
        <v>0.05425</v>
      </c>
      <c r="I71" s="0" t="n">
        <v>0.00268</v>
      </c>
      <c r="J71" s="0" t="n">
        <v>0.02095</v>
      </c>
      <c r="K71" s="0" t="n">
        <v>0</v>
      </c>
      <c r="L71" s="0" t="n">
        <v>0</v>
      </c>
    </row>
    <row r="72" customFormat="false" ht="12.8" hidden="false" customHeight="false" outlineLevel="0" collapsed="false">
      <c r="A72" s="4" t="s">
        <v>14</v>
      </c>
      <c r="B72" s="4" t="n">
        <v>512</v>
      </c>
      <c r="C72" s="4" t="n">
        <v>10</v>
      </c>
      <c r="D72" s="1" t="str">
        <f aca="false">A72&amp;B72&amp;C72</f>
        <v>SDWN MOD51210</v>
      </c>
      <c r="E72" s="0" t="n">
        <v>0.03333</v>
      </c>
      <c r="F72" s="0" t="n">
        <v>0.07935</v>
      </c>
      <c r="G72" s="0" t="n">
        <v>0</v>
      </c>
      <c r="H72" s="0" t="n">
        <v>0</v>
      </c>
      <c r="I72" s="0" t="n">
        <v>0.01667</v>
      </c>
      <c r="J72" s="0" t="n">
        <v>0.05</v>
      </c>
      <c r="K72" s="0" t="n">
        <v>0</v>
      </c>
      <c r="L72" s="0" t="n">
        <v>0</v>
      </c>
    </row>
    <row r="73" customFormat="false" ht="12.8" hidden="false" customHeight="false" outlineLevel="0" collapsed="false">
      <c r="A73" s="4" t="s">
        <v>14</v>
      </c>
      <c r="B73" s="4" t="n">
        <v>512</v>
      </c>
      <c r="C73" s="4" t="n">
        <v>20</v>
      </c>
      <c r="D73" s="1" t="str">
        <f aca="false">A73&amp;B73&amp;C73</f>
        <v>SDWN MOD51220</v>
      </c>
      <c r="E73" s="0" t="n">
        <v>0.03</v>
      </c>
      <c r="F73" s="0" t="n">
        <v>0.06403</v>
      </c>
      <c r="G73" s="0" t="n">
        <v>0.03</v>
      </c>
      <c r="H73" s="0" t="n">
        <v>0.06403</v>
      </c>
      <c r="I73" s="0" t="n">
        <v>0.01</v>
      </c>
      <c r="J73" s="0" t="n">
        <v>0.03958</v>
      </c>
      <c r="K73" s="0" t="n">
        <v>0</v>
      </c>
      <c r="L73" s="0" t="n">
        <v>0</v>
      </c>
    </row>
    <row r="74" customFormat="false" ht="12.8" hidden="false" customHeight="false" outlineLevel="0" collapsed="false">
      <c r="A74" s="4" t="s">
        <v>14</v>
      </c>
      <c r="B74" s="4" t="n">
        <v>512</v>
      </c>
      <c r="C74" s="4" t="n">
        <v>30</v>
      </c>
      <c r="D74" s="1" t="str">
        <f aca="false">A74&amp;B74&amp;C74</f>
        <v>SDWN MOD51230</v>
      </c>
      <c r="E74" s="0" t="n">
        <v>0.05</v>
      </c>
      <c r="F74" s="0" t="n">
        <v>0.07638</v>
      </c>
      <c r="G74" s="0" t="n">
        <v>0.03542</v>
      </c>
      <c r="H74" s="0" t="n">
        <v>0.06818</v>
      </c>
      <c r="I74" s="0" t="n">
        <v>0.0119</v>
      </c>
      <c r="J74" s="0" t="n">
        <v>0.04292</v>
      </c>
      <c r="K74" s="0" t="n">
        <v>0.00714</v>
      </c>
      <c r="L74" s="0" t="n">
        <v>0.03376</v>
      </c>
    </row>
    <row r="75" customFormat="false" ht="12.8" hidden="false" customHeight="false" outlineLevel="0" collapsed="false">
      <c r="A75" s="4" t="s">
        <v>14</v>
      </c>
      <c r="B75" s="4" t="n">
        <v>512</v>
      </c>
      <c r="C75" s="4" t="n">
        <v>40</v>
      </c>
      <c r="D75" s="1" t="str">
        <f aca="false">A75&amp;B75&amp;C75</f>
        <v>SDWN MOD51240</v>
      </c>
      <c r="E75" s="0" t="n">
        <v>0.08333</v>
      </c>
      <c r="F75" s="0" t="n">
        <v>0.08333</v>
      </c>
      <c r="G75" s="0" t="n">
        <v>0.0202</v>
      </c>
      <c r="H75" s="0" t="n">
        <v>0.0544</v>
      </c>
      <c r="I75" s="0" t="n">
        <v>0.01515</v>
      </c>
      <c r="J75" s="0" t="n">
        <v>0.04791</v>
      </c>
      <c r="K75" s="0" t="n">
        <v>0.0017</v>
      </c>
      <c r="L75" s="0" t="n">
        <v>0.01675</v>
      </c>
    </row>
    <row r="76" customFormat="false" ht="12.8" hidden="false" customHeight="false" outlineLevel="0" collapsed="false">
      <c r="A76" s="4" t="s">
        <v>14</v>
      </c>
      <c r="B76" s="4" t="n">
        <v>512</v>
      </c>
      <c r="C76" s="4" t="n">
        <v>50</v>
      </c>
      <c r="D76" s="1" t="str">
        <f aca="false">A76&amp;B76&amp;C76</f>
        <v>SDWN MOD51250</v>
      </c>
      <c r="E76" s="0" t="n">
        <v>0.08846</v>
      </c>
      <c r="F76" s="0" t="n">
        <v>0.08571</v>
      </c>
      <c r="G76" s="0" t="n">
        <v>0.02455</v>
      </c>
      <c r="H76" s="0" t="n">
        <v>0.05907</v>
      </c>
      <c r="I76" s="0" t="n">
        <v>0.01667</v>
      </c>
      <c r="J76" s="0" t="n">
        <v>0.05</v>
      </c>
      <c r="K76" s="0" t="n">
        <v>0</v>
      </c>
      <c r="L76" s="0" t="n">
        <v>0</v>
      </c>
    </row>
    <row r="77" customFormat="false" ht="12.8" hidden="false" customHeight="false" outlineLevel="0" collapsed="false">
      <c r="A77" s="4" t="s">
        <v>14</v>
      </c>
      <c r="B77" s="4" t="n">
        <v>512</v>
      </c>
      <c r="C77" s="4" t="n">
        <v>60</v>
      </c>
      <c r="D77" s="1" t="str">
        <f aca="false">A77&amp;B77&amp;C77</f>
        <v>SDWN MOD51260</v>
      </c>
      <c r="E77" s="0" t="n">
        <v>0.09396</v>
      </c>
      <c r="F77" s="0" t="n">
        <v>0.08488</v>
      </c>
      <c r="G77" s="0" t="n">
        <v>0.03579</v>
      </c>
      <c r="H77" s="0" t="n">
        <v>0.06844</v>
      </c>
      <c r="I77" s="0" t="n">
        <v>0.00333</v>
      </c>
      <c r="J77" s="0" t="n">
        <v>0.02333</v>
      </c>
      <c r="K77" s="0" t="n">
        <v>0.00113</v>
      </c>
      <c r="L77" s="0" t="n">
        <v>0.01365</v>
      </c>
    </row>
    <row r="78" customFormat="false" ht="12.8" hidden="false" customHeight="false" outlineLevel="0" collapsed="false">
      <c r="A78" s="4" t="s">
        <v>14</v>
      </c>
      <c r="B78" s="4" t="n">
        <v>512</v>
      </c>
      <c r="C78" s="4" t="n">
        <v>70</v>
      </c>
      <c r="D78" s="1" t="str">
        <f aca="false">A78&amp;B78&amp;C78</f>
        <v>SDWN MOD51270</v>
      </c>
      <c r="E78" s="0" t="n">
        <v>0.09167</v>
      </c>
      <c r="F78" s="0" t="n">
        <v>0.08656</v>
      </c>
      <c r="G78" s="0" t="n">
        <v>0.02622</v>
      </c>
      <c r="H78" s="0" t="n">
        <v>0.06068</v>
      </c>
      <c r="I78" s="0" t="n">
        <v>0</v>
      </c>
      <c r="J78" s="0" t="n">
        <v>0</v>
      </c>
      <c r="K78" s="0" t="n">
        <v>0</v>
      </c>
      <c r="L78" s="0" t="n">
        <v>0</v>
      </c>
    </row>
    <row r="79" customFormat="false" ht="12.8" hidden="false" customHeight="false" outlineLevel="0" collapsed="false">
      <c r="A79" s="4" t="s">
        <v>14</v>
      </c>
      <c r="B79" s="4" t="n">
        <v>512</v>
      </c>
      <c r="C79" s="4" t="n">
        <v>80</v>
      </c>
      <c r="D79" s="1" t="str">
        <f aca="false">A79&amp;B79&amp;C79</f>
        <v>SDWN MOD51280</v>
      </c>
      <c r="E79" s="0" t="n">
        <v>0.09583</v>
      </c>
      <c r="F79" s="0" t="n">
        <v>0.09043</v>
      </c>
      <c r="G79" s="0" t="n">
        <v>0.02189</v>
      </c>
      <c r="H79" s="0" t="n">
        <v>0.05629</v>
      </c>
      <c r="I79" s="0" t="n">
        <v>0.00505</v>
      </c>
      <c r="J79" s="0" t="n">
        <v>0.02857</v>
      </c>
      <c r="K79" s="0" t="n">
        <v>0.00083</v>
      </c>
      <c r="L79" s="0" t="n">
        <v>0.01176</v>
      </c>
    </row>
    <row r="80" customFormat="false" ht="12.8" hidden="false" customHeight="false" outlineLevel="0" collapsed="false">
      <c r="A80" s="4" t="s">
        <v>14</v>
      </c>
      <c r="B80" s="4" t="n">
        <v>512</v>
      </c>
      <c r="C80" s="4" t="n">
        <v>90</v>
      </c>
      <c r="D80" s="1" t="str">
        <f aca="false">A80&amp;B80&amp;C80</f>
        <v>SDWN MOD51290</v>
      </c>
      <c r="E80" s="0" t="n">
        <v>0.09971</v>
      </c>
      <c r="F80" s="0" t="n">
        <v>0.10036</v>
      </c>
      <c r="G80" s="0" t="n">
        <v>0.02101</v>
      </c>
      <c r="H80" s="0" t="n">
        <v>0.05532</v>
      </c>
      <c r="I80" s="0" t="n">
        <v>0.00758</v>
      </c>
      <c r="J80" s="0" t="n">
        <v>0.03472</v>
      </c>
      <c r="K80" s="0" t="n">
        <v>0</v>
      </c>
      <c r="L80" s="0" t="n">
        <v>0</v>
      </c>
    </row>
    <row r="81" customFormat="false" ht="12.8" hidden="false" customHeight="false" outlineLevel="0" collapsed="false">
      <c r="A81" s="4" t="s">
        <v>14</v>
      </c>
      <c r="B81" s="4" t="n">
        <v>512</v>
      </c>
      <c r="C81" s="4" t="n">
        <v>100</v>
      </c>
      <c r="D81" s="1" t="str">
        <f aca="false">A81&amp;B81&amp;C81</f>
        <v>SDWN MOD512100</v>
      </c>
      <c r="E81" s="0" t="n">
        <v>0.09677</v>
      </c>
      <c r="F81" s="0" t="n">
        <v>0.09606</v>
      </c>
      <c r="G81" s="0" t="n">
        <v>0.02285</v>
      </c>
      <c r="H81" s="0" t="n">
        <v>0.05732</v>
      </c>
      <c r="I81" s="0" t="n">
        <v>0.00133</v>
      </c>
      <c r="J81" s="0" t="n">
        <v>0.01485</v>
      </c>
      <c r="K81" s="0" t="n">
        <v>0</v>
      </c>
      <c r="L81" s="0" t="n">
        <v>0</v>
      </c>
    </row>
    <row r="82" customFormat="false" ht="12.8" hidden="false" customHeight="false" outlineLevel="0" collapsed="false">
      <c r="A82" s="4" t="s">
        <v>14</v>
      </c>
      <c r="B82" s="4" t="n">
        <v>1024</v>
      </c>
      <c r="C82" s="4" t="n">
        <v>10</v>
      </c>
      <c r="D82" s="1" t="str">
        <f aca="false">A82&amp;B82&amp;C82</f>
        <v>SDWN MOD102410</v>
      </c>
      <c r="E82" s="0" t="n">
        <v>0.02778</v>
      </c>
      <c r="F82" s="0" t="n">
        <v>0.06211</v>
      </c>
      <c r="G82" s="0" t="n">
        <v>0</v>
      </c>
      <c r="H82" s="0" t="n">
        <v>0</v>
      </c>
      <c r="I82" s="0" t="n">
        <v>0.01667</v>
      </c>
      <c r="J82" s="0" t="n">
        <v>0.05</v>
      </c>
      <c r="K82" s="0" t="n">
        <v>0</v>
      </c>
      <c r="L82" s="0" t="n">
        <v>0</v>
      </c>
    </row>
    <row r="83" customFormat="false" ht="12.8" hidden="false" customHeight="false" outlineLevel="0" collapsed="false">
      <c r="A83" s="4" t="s">
        <v>14</v>
      </c>
      <c r="B83" s="4" t="n">
        <v>1024</v>
      </c>
      <c r="C83" s="4" t="n">
        <v>20</v>
      </c>
      <c r="D83" s="1" t="str">
        <f aca="false">A83&amp;B83&amp;C83</f>
        <v>SDWN MOD102420</v>
      </c>
      <c r="E83" s="0" t="n">
        <v>0.03</v>
      </c>
      <c r="F83" s="0" t="n">
        <v>0.06403</v>
      </c>
      <c r="G83" s="0" t="n">
        <v>0.02667</v>
      </c>
      <c r="H83" s="0" t="n">
        <v>0.0611</v>
      </c>
      <c r="I83" s="0" t="n">
        <v>0.00667</v>
      </c>
      <c r="J83" s="0" t="n">
        <v>0.03266</v>
      </c>
      <c r="K83" s="0" t="n">
        <v>0</v>
      </c>
      <c r="L83" s="0" t="n">
        <v>0</v>
      </c>
    </row>
    <row r="84" customFormat="false" ht="12.8" hidden="false" customHeight="false" outlineLevel="0" collapsed="false">
      <c r="A84" s="4" t="s">
        <v>14</v>
      </c>
      <c r="B84" s="4" t="n">
        <v>1024</v>
      </c>
      <c r="C84" s="4" t="n">
        <v>30</v>
      </c>
      <c r="D84" s="1" t="str">
        <f aca="false">A84&amp;B84&amp;C84</f>
        <v>SDWN MOD102430</v>
      </c>
      <c r="E84" s="0" t="n">
        <v>0.04792</v>
      </c>
      <c r="F84" s="0" t="n">
        <v>0.07543</v>
      </c>
      <c r="G84" s="0" t="n">
        <v>0.03542</v>
      </c>
      <c r="H84" s="0" t="n">
        <v>0.06818</v>
      </c>
      <c r="I84" s="0" t="n">
        <v>0.00714</v>
      </c>
      <c r="J84" s="0" t="n">
        <v>0.03376</v>
      </c>
      <c r="K84" s="0" t="n">
        <v>0.00952</v>
      </c>
      <c r="L84" s="0" t="n">
        <v>0.03869</v>
      </c>
    </row>
    <row r="85" customFormat="false" ht="12.8" hidden="false" customHeight="false" outlineLevel="0" collapsed="false">
      <c r="A85" s="4" t="s">
        <v>14</v>
      </c>
      <c r="B85" s="4" t="n">
        <v>1024</v>
      </c>
      <c r="C85" s="4" t="n">
        <v>40</v>
      </c>
      <c r="D85" s="1" t="str">
        <f aca="false">A85&amp;B85&amp;C85</f>
        <v>SDWN MOD102440</v>
      </c>
      <c r="E85" s="0" t="n">
        <v>0.08</v>
      </c>
      <c r="F85" s="0" t="n">
        <v>0.08327</v>
      </c>
      <c r="G85" s="0" t="n">
        <v>0.02189</v>
      </c>
      <c r="H85" s="0" t="n">
        <v>0.05629</v>
      </c>
      <c r="I85" s="0" t="n">
        <v>0.0101</v>
      </c>
      <c r="J85" s="0" t="n">
        <v>0.03977</v>
      </c>
      <c r="K85" s="0" t="n">
        <v>0.0034</v>
      </c>
      <c r="L85" s="0" t="n">
        <v>0.02357</v>
      </c>
    </row>
    <row r="86" customFormat="false" ht="12.8" hidden="false" customHeight="false" outlineLevel="0" collapsed="false">
      <c r="A86" s="4" t="s">
        <v>14</v>
      </c>
      <c r="B86" s="4" t="n">
        <v>1024</v>
      </c>
      <c r="C86" s="4" t="n">
        <v>50</v>
      </c>
      <c r="D86" s="1" t="str">
        <f aca="false">A86&amp;B86&amp;C86</f>
        <v>SDWN MOD102450</v>
      </c>
      <c r="E86" s="0" t="n">
        <v>0.11026</v>
      </c>
      <c r="F86" s="0" t="n">
        <v>0.21538</v>
      </c>
      <c r="G86" s="0" t="n">
        <v>0.01938</v>
      </c>
      <c r="H86" s="0" t="n">
        <v>0.05343</v>
      </c>
      <c r="I86" s="0" t="n">
        <v>0.01389</v>
      </c>
      <c r="J86" s="0" t="n">
        <v>0.04606</v>
      </c>
      <c r="K86" s="0" t="n">
        <v>0</v>
      </c>
      <c r="L86" s="0" t="n">
        <v>0</v>
      </c>
    </row>
    <row r="87" customFormat="false" ht="12.8" hidden="false" customHeight="false" outlineLevel="0" collapsed="false">
      <c r="A87" s="4" t="s">
        <v>14</v>
      </c>
      <c r="B87" s="4" t="n">
        <v>1024</v>
      </c>
      <c r="C87" s="4" t="n">
        <v>60</v>
      </c>
      <c r="D87" s="1" t="str">
        <f aca="false">A87&amp;B87&amp;C87</f>
        <v>SDWN MOD102460</v>
      </c>
      <c r="E87" s="0" t="n">
        <v>0.09347</v>
      </c>
      <c r="F87" s="0" t="n">
        <v>0.08713</v>
      </c>
      <c r="G87" s="0" t="n">
        <v>0.03889</v>
      </c>
      <c r="H87" s="0" t="n">
        <v>0.07049</v>
      </c>
      <c r="I87" s="0" t="n">
        <v>0.00222</v>
      </c>
      <c r="J87" s="0" t="n">
        <v>0.01912</v>
      </c>
      <c r="K87" s="0" t="n">
        <v>0</v>
      </c>
      <c r="L87" s="0" t="n">
        <v>0</v>
      </c>
    </row>
    <row r="88" customFormat="false" ht="12.8" hidden="false" customHeight="false" outlineLevel="0" collapsed="false">
      <c r="A88" s="4" t="s">
        <v>14</v>
      </c>
      <c r="B88" s="4" t="n">
        <v>1024</v>
      </c>
      <c r="C88" s="4" t="n">
        <v>70</v>
      </c>
      <c r="D88" s="1" t="str">
        <f aca="false">A88&amp;B88&amp;C88</f>
        <v>SDWN MOD102470</v>
      </c>
      <c r="E88" s="0" t="n">
        <v>0.08981</v>
      </c>
      <c r="F88" s="0" t="n">
        <v>0.09356</v>
      </c>
      <c r="G88" s="0" t="n">
        <v>0.03073</v>
      </c>
      <c r="H88" s="0" t="n">
        <v>0.06463</v>
      </c>
      <c r="I88" s="0" t="n">
        <v>0.00296</v>
      </c>
      <c r="J88" s="0" t="n">
        <v>0.02201</v>
      </c>
      <c r="K88" s="0" t="n">
        <v>0.00099</v>
      </c>
      <c r="L88" s="0" t="n">
        <v>0.01278</v>
      </c>
    </row>
    <row r="89" customFormat="false" ht="12.8" hidden="false" customHeight="false" outlineLevel="0" collapsed="false">
      <c r="A89" s="4" t="s">
        <v>14</v>
      </c>
      <c r="B89" s="4" t="n">
        <v>1024</v>
      </c>
      <c r="C89" s="4" t="n">
        <v>80</v>
      </c>
      <c r="D89" s="1" t="str">
        <f aca="false">A89&amp;B89&amp;C89</f>
        <v>SDWN MOD102480</v>
      </c>
      <c r="E89" s="0" t="n">
        <v>0.08917</v>
      </c>
      <c r="F89" s="0" t="n">
        <v>0.08956</v>
      </c>
      <c r="G89" s="0" t="n">
        <v>0.02596</v>
      </c>
      <c r="H89" s="0" t="n">
        <v>0.06044</v>
      </c>
      <c r="I89" s="0" t="n">
        <v>0.00251</v>
      </c>
      <c r="J89" s="0" t="n">
        <v>0.02031</v>
      </c>
      <c r="K89" s="0" t="n">
        <v>0</v>
      </c>
      <c r="L89" s="0" t="n">
        <v>0</v>
      </c>
    </row>
    <row r="90" customFormat="false" ht="12.8" hidden="false" customHeight="false" outlineLevel="0" collapsed="false">
      <c r="A90" s="4" t="s">
        <v>14</v>
      </c>
      <c r="B90" s="4" t="n">
        <v>1024</v>
      </c>
      <c r="C90" s="4" t="n">
        <v>90</v>
      </c>
      <c r="D90" s="1" t="str">
        <f aca="false">A90&amp;B90&amp;C90</f>
        <v>SDWN MOD102490</v>
      </c>
      <c r="E90" s="0" t="n">
        <v>0.10599</v>
      </c>
      <c r="F90" s="0" t="n">
        <v>0.10517</v>
      </c>
      <c r="G90" s="0" t="n">
        <v>0.02911</v>
      </c>
      <c r="H90" s="0" t="n">
        <v>0.06879</v>
      </c>
      <c r="I90" s="0" t="n">
        <v>0.00909</v>
      </c>
      <c r="J90" s="0" t="n">
        <v>0.03785</v>
      </c>
      <c r="K90" s="0" t="n">
        <v>0.00076</v>
      </c>
      <c r="L90" s="0" t="n">
        <v>0.01124</v>
      </c>
    </row>
    <row r="91" customFormat="false" ht="12.8" hidden="false" customHeight="false" outlineLevel="0" collapsed="false">
      <c r="A91" s="4" t="s">
        <v>14</v>
      </c>
      <c r="B91" s="4" t="n">
        <v>1024</v>
      </c>
      <c r="C91" s="4" t="n">
        <v>100</v>
      </c>
      <c r="D91" s="1" t="str">
        <f aca="false">A91&amp;B91&amp;C91</f>
        <v>SDWN MOD1024100</v>
      </c>
      <c r="E91" s="0" t="n">
        <v>0.10215</v>
      </c>
      <c r="F91" s="0" t="n">
        <v>0.10307</v>
      </c>
      <c r="G91" s="0" t="n">
        <v>0.01889</v>
      </c>
      <c r="H91" s="0" t="n">
        <v>0.05284</v>
      </c>
      <c r="I91" s="0" t="n">
        <v>0.00201</v>
      </c>
      <c r="J91" s="0" t="n">
        <v>0.01818</v>
      </c>
      <c r="K91" s="0" t="n">
        <v>0</v>
      </c>
      <c r="L91" s="0" t="n">
        <v>0</v>
      </c>
    </row>
    <row r="92" customFormat="false" ht="12.8" hidden="false" customHeight="false" outlineLevel="0" collapsed="false">
      <c r="A92" s="4" t="s">
        <v>15</v>
      </c>
      <c r="B92" s="4" t="n">
        <v>256</v>
      </c>
      <c r="C92" s="4" t="n">
        <v>10</v>
      </c>
      <c r="D92" s="1" t="str">
        <f aca="false">A92&amp;B92&amp;C92</f>
        <v>SDWN IA25610</v>
      </c>
      <c r="E92" s="1" t="n">
        <v>0.00556</v>
      </c>
      <c r="F92" s="1" t="n">
        <v>0.02992</v>
      </c>
      <c r="G92" s="1" t="n">
        <v>0.01111</v>
      </c>
      <c r="H92" s="1" t="n">
        <v>0.04157</v>
      </c>
      <c r="I92" s="1" t="n">
        <v>0.00833</v>
      </c>
      <c r="J92" s="1" t="n">
        <v>0.03632</v>
      </c>
      <c r="K92" s="1" t="n">
        <v>0</v>
      </c>
      <c r="L92" s="1" t="n">
        <v>0</v>
      </c>
    </row>
    <row r="93" customFormat="false" ht="12.8" hidden="false" customHeight="false" outlineLevel="0" collapsed="false">
      <c r="A93" s="4" t="s">
        <v>15</v>
      </c>
      <c r="B93" s="4" t="n">
        <v>256</v>
      </c>
      <c r="C93" s="4" t="n">
        <v>20</v>
      </c>
      <c r="D93" s="1" t="str">
        <f aca="false">A93&amp;B93&amp;C93</f>
        <v>SDWN IA25620</v>
      </c>
      <c r="E93" s="1" t="n">
        <v>0.01667</v>
      </c>
      <c r="F93" s="1" t="n">
        <v>0.05</v>
      </c>
      <c r="G93" s="1" t="n">
        <v>0.03667</v>
      </c>
      <c r="H93" s="1" t="n">
        <v>0.06904</v>
      </c>
      <c r="I93" s="1" t="n">
        <v>0.01667</v>
      </c>
      <c r="J93" s="1" t="n">
        <v>0.05</v>
      </c>
      <c r="K93" s="1" t="n">
        <v>0</v>
      </c>
      <c r="L93" s="1" t="n">
        <v>0</v>
      </c>
    </row>
    <row r="94" customFormat="false" ht="12.8" hidden="false" customHeight="false" outlineLevel="0" collapsed="false">
      <c r="A94" s="4" t="s">
        <v>15</v>
      </c>
      <c r="B94" s="4" t="n">
        <v>256</v>
      </c>
      <c r="C94" s="4" t="n">
        <v>30</v>
      </c>
      <c r="D94" s="1" t="str">
        <f aca="false">A94&amp;B94&amp;C94</f>
        <v>SDWN IA25630</v>
      </c>
      <c r="E94" s="1" t="n">
        <v>0.05417</v>
      </c>
      <c r="F94" s="1" t="n">
        <v>0.07806</v>
      </c>
      <c r="G94" s="1" t="n">
        <v>0.01875</v>
      </c>
      <c r="H94" s="1" t="n">
        <v>0.05889</v>
      </c>
      <c r="I94" s="1" t="n">
        <v>0.02619</v>
      </c>
      <c r="J94" s="1" t="n">
        <v>0.06688</v>
      </c>
      <c r="K94" s="1" t="n">
        <v>0.0119</v>
      </c>
      <c r="L94" s="1" t="n">
        <v>0.04292</v>
      </c>
    </row>
    <row r="95" customFormat="false" ht="12.8" hidden="false" customHeight="false" outlineLevel="0" collapsed="false">
      <c r="A95" s="4" t="s">
        <v>15</v>
      </c>
      <c r="B95" s="4" t="n">
        <v>256</v>
      </c>
      <c r="C95" s="4" t="n">
        <v>40</v>
      </c>
      <c r="D95" s="1" t="str">
        <f aca="false">A95&amp;B95&amp;C95</f>
        <v>SDWN IA25640</v>
      </c>
      <c r="E95" s="1" t="n">
        <v>0.09167</v>
      </c>
      <c r="F95" s="1" t="n">
        <v>0.11149</v>
      </c>
      <c r="G95" s="1" t="n">
        <v>0.065</v>
      </c>
      <c r="H95" s="1" t="n">
        <v>0.09971</v>
      </c>
      <c r="I95" s="1" t="n">
        <v>0.02667</v>
      </c>
      <c r="J95" s="1" t="n">
        <v>0.0611</v>
      </c>
      <c r="K95" s="1" t="n">
        <v>0.02167</v>
      </c>
      <c r="L95" s="1" t="n">
        <v>0.0608</v>
      </c>
    </row>
    <row r="96" customFormat="false" ht="12.8" hidden="false" customHeight="false" outlineLevel="0" collapsed="false">
      <c r="A96" s="4" t="s">
        <v>15</v>
      </c>
      <c r="B96" s="4" t="n">
        <v>256</v>
      </c>
      <c r="C96" s="4" t="n">
        <v>50</v>
      </c>
      <c r="D96" s="1" t="str">
        <f aca="false">A96&amp;B96&amp;C96</f>
        <v>SDWN IA25650</v>
      </c>
      <c r="E96" s="1" t="n">
        <v>0.10128</v>
      </c>
      <c r="F96" s="1" t="n">
        <v>0.12142</v>
      </c>
      <c r="G96" s="1" t="n">
        <v>0.07051</v>
      </c>
      <c r="H96" s="1" t="n">
        <v>0.10715</v>
      </c>
      <c r="I96" s="1" t="n">
        <v>0.03472</v>
      </c>
      <c r="J96" s="1" t="n">
        <v>0.07727</v>
      </c>
      <c r="K96" s="1" t="n">
        <v>0.01667</v>
      </c>
      <c r="L96" s="1" t="n">
        <v>0.05</v>
      </c>
    </row>
    <row r="97" customFormat="false" ht="12.8" hidden="false" customHeight="false" outlineLevel="0" collapsed="false">
      <c r="A97" s="4" t="s">
        <v>15</v>
      </c>
      <c r="B97" s="4" t="n">
        <v>256</v>
      </c>
      <c r="C97" s="4" t="n">
        <v>60</v>
      </c>
      <c r="D97" s="1" t="str">
        <f aca="false">A97&amp;B97&amp;C97</f>
        <v>SDWN IA25660</v>
      </c>
      <c r="E97" s="1" t="n">
        <v>0.12556</v>
      </c>
      <c r="F97" s="1" t="n">
        <v>0.12313</v>
      </c>
      <c r="G97" s="1" t="n">
        <v>0.05778</v>
      </c>
      <c r="H97" s="1" t="n">
        <v>0.08816</v>
      </c>
      <c r="I97" s="1" t="n">
        <v>0.03333</v>
      </c>
      <c r="J97" s="1" t="n">
        <v>0.07454</v>
      </c>
      <c r="K97" s="1" t="n">
        <v>0.02889</v>
      </c>
      <c r="L97" s="1" t="n">
        <v>0.06871</v>
      </c>
    </row>
    <row r="98" customFormat="false" ht="12.8" hidden="false" customHeight="false" outlineLevel="0" collapsed="false">
      <c r="A98" s="4" t="s">
        <v>15</v>
      </c>
      <c r="B98" s="4" t="n">
        <v>256</v>
      </c>
      <c r="C98" s="4" t="n">
        <v>70</v>
      </c>
      <c r="D98" s="1" t="str">
        <f aca="false">A98&amp;B98&amp;C98</f>
        <v>SDWN IA25670</v>
      </c>
      <c r="E98" s="1" t="n">
        <v>0.10463</v>
      </c>
      <c r="F98" s="1" t="n">
        <v>0.10545</v>
      </c>
      <c r="G98" s="1" t="n">
        <v>0.06389</v>
      </c>
      <c r="H98" s="1" t="n">
        <v>0.08832</v>
      </c>
      <c r="I98" s="1" t="n">
        <v>0.01765</v>
      </c>
      <c r="J98" s="1" t="n">
        <v>0.05128</v>
      </c>
      <c r="K98" s="1" t="n">
        <v>0.00588</v>
      </c>
      <c r="L98" s="1" t="n">
        <v>0.03075</v>
      </c>
    </row>
    <row r="99" customFormat="false" ht="12.8" hidden="false" customHeight="false" outlineLevel="0" collapsed="false">
      <c r="A99" s="4" t="s">
        <v>15</v>
      </c>
      <c r="B99" s="4" t="n">
        <v>256</v>
      </c>
      <c r="C99" s="4" t="n">
        <v>80</v>
      </c>
      <c r="D99" s="1" t="str">
        <f aca="false">A99&amp;B99&amp;C99</f>
        <v>SDWN IA25680</v>
      </c>
      <c r="E99" s="1" t="n">
        <v>0.10333</v>
      </c>
      <c r="F99" s="1" t="n">
        <v>0.11372</v>
      </c>
      <c r="G99" s="1" t="n">
        <v>0.0625</v>
      </c>
      <c r="H99" s="1" t="n">
        <v>0.08406</v>
      </c>
      <c r="I99" s="1" t="n">
        <v>0.01917</v>
      </c>
      <c r="J99" s="1" t="n">
        <v>0.05317</v>
      </c>
      <c r="K99" s="1" t="n">
        <v>0</v>
      </c>
      <c r="L99" s="1" t="n">
        <v>0</v>
      </c>
    </row>
    <row r="100" customFormat="false" ht="12.8" hidden="false" customHeight="false" outlineLevel="0" collapsed="false">
      <c r="A100" s="4" t="s">
        <v>15</v>
      </c>
      <c r="B100" s="4" t="n">
        <v>256</v>
      </c>
      <c r="C100" s="4" t="n">
        <v>90</v>
      </c>
      <c r="D100" s="1" t="str">
        <f aca="false">A100&amp;B100&amp;C100</f>
        <v>SDWN IA25690</v>
      </c>
      <c r="E100" s="1" t="n">
        <v>0.15217</v>
      </c>
      <c r="F100" s="1" t="n">
        <v>0.17105</v>
      </c>
      <c r="G100" s="1" t="n">
        <v>0.07826</v>
      </c>
      <c r="H100" s="1" t="n">
        <v>0.11169</v>
      </c>
      <c r="I100" s="1" t="n">
        <v>0.02955</v>
      </c>
      <c r="J100" s="1" t="n">
        <v>0.0675</v>
      </c>
      <c r="K100" s="1" t="n">
        <v>0.00985</v>
      </c>
      <c r="L100" s="1" t="n">
        <v>0.0393</v>
      </c>
    </row>
    <row r="101" customFormat="false" ht="12.8" hidden="false" customHeight="false" outlineLevel="0" collapsed="false">
      <c r="A101" s="4" t="s">
        <v>15</v>
      </c>
      <c r="B101" s="4" t="n">
        <v>256</v>
      </c>
      <c r="C101" s="4" t="n">
        <v>100</v>
      </c>
      <c r="D101" s="1" t="str">
        <f aca="false">A101&amp;B101&amp;C101</f>
        <v>SDWN IA256100</v>
      </c>
      <c r="E101" s="1" t="n">
        <v>0.13667</v>
      </c>
      <c r="F101" s="1" t="n">
        <v>0.13119</v>
      </c>
      <c r="G101" s="1" t="n">
        <v>0.06533</v>
      </c>
      <c r="H101" s="1" t="n">
        <v>0.09637</v>
      </c>
      <c r="I101" s="1" t="n">
        <v>0.01533</v>
      </c>
      <c r="J101" s="1" t="n">
        <v>0.05042</v>
      </c>
      <c r="K101" s="1" t="n">
        <v>0.00267</v>
      </c>
      <c r="L101" s="1" t="n">
        <v>0.02091</v>
      </c>
    </row>
    <row r="102" customFormat="false" ht="12.8" hidden="false" customHeight="false" outlineLevel="0" collapsed="false">
      <c r="A102" s="4" t="s">
        <v>15</v>
      </c>
      <c r="B102" s="4" t="n">
        <v>512</v>
      </c>
      <c r="C102" s="4" t="n">
        <v>10</v>
      </c>
      <c r="D102" s="1" t="str">
        <f aca="false">A102&amp;B102&amp;C102</f>
        <v>SDWN IA51210</v>
      </c>
      <c r="E102" s="1" t="n">
        <v>0.00556</v>
      </c>
      <c r="F102" s="1" t="n">
        <v>0.02992</v>
      </c>
      <c r="G102" s="1" t="n">
        <v>0.01111</v>
      </c>
      <c r="H102" s="1" t="n">
        <v>0.04157</v>
      </c>
      <c r="I102" s="1" t="n">
        <v>0.00833</v>
      </c>
      <c r="J102" s="1" t="n">
        <v>0.03632</v>
      </c>
      <c r="K102" s="1" t="n">
        <v>0</v>
      </c>
      <c r="L102" s="1" t="n">
        <v>0</v>
      </c>
    </row>
    <row r="103" customFormat="false" ht="12.8" hidden="false" customHeight="false" outlineLevel="0" collapsed="false">
      <c r="A103" s="4" t="s">
        <v>15</v>
      </c>
      <c r="B103" s="4" t="n">
        <v>512</v>
      </c>
      <c r="C103" s="4" t="n">
        <v>20</v>
      </c>
      <c r="D103" s="1" t="str">
        <f aca="false">A103&amp;B103&amp;C103</f>
        <v>SDWN IA51220</v>
      </c>
      <c r="E103" s="1" t="n">
        <v>0.01667</v>
      </c>
      <c r="F103" s="1" t="n">
        <v>0.05</v>
      </c>
      <c r="G103" s="1" t="n">
        <v>0.03667</v>
      </c>
      <c r="H103" s="1" t="n">
        <v>0.06904</v>
      </c>
      <c r="I103" s="1" t="n">
        <v>0.02</v>
      </c>
      <c r="J103" s="1" t="n">
        <v>0.05416</v>
      </c>
      <c r="K103" s="1" t="n">
        <v>0.00333</v>
      </c>
      <c r="L103" s="1" t="n">
        <v>0.02333</v>
      </c>
    </row>
    <row r="104" customFormat="false" ht="12.8" hidden="false" customHeight="false" outlineLevel="0" collapsed="false">
      <c r="A104" s="4" t="s">
        <v>15</v>
      </c>
      <c r="B104" s="4" t="n">
        <v>512</v>
      </c>
      <c r="C104" s="4" t="n">
        <v>30</v>
      </c>
      <c r="D104" s="1" t="str">
        <f aca="false">A104&amp;B104&amp;C104</f>
        <v>SDWN IA51230</v>
      </c>
      <c r="E104" s="1" t="n">
        <v>0.05208</v>
      </c>
      <c r="F104" s="1" t="n">
        <v>0.07725</v>
      </c>
      <c r="G104" s="1" t="n">
        <v>0.02083</v>
      </c>
      <c r="H104" s="1" t="n">
        <v>0.05512</v>
      </c>
      <c r="I104" s="1" t="n">
        <v>0.0119</v>
      </c>
      <c r="J104" s="1" t="n">
        <v>0.04292</v>
      </c>
      <c r="K104" s="1" t="n">
        <v>0.00476</v>
      </c>
      <c r="L104" s="1" t="n">
        <v>0.02777</v>
      </c>
    </row>
    <row r="105" customFormat="false" ht="12.8" hidden="false" customHeight="false" outlineLevel="0" collapsed="false">
      <c r="A105" s="4" t="s">
        <v>15</v>
      </c>
      <c r="B105" s="4" t="n">
        <v>512</v>
      </c>
      <c r="C105" s="4" t="n">
        <v>40</v>
      </c>
      <c r="D105" s="1" t="str">
        <f aca="false">A105&amp;B105&amp;C105</f>
        <v>SDWN IA51240</v>
      </c>
      <c r="E105" s="1" t="n">
        <v>0.085</v>
      </c>
      <c r="F105" s="1" t="n">
        <v>0.10407</v>
      </c>
      <c r="G105" s="1" t="n">
        <v>0.065</v>
      </c>
      <c r="H105" s="1" t="n">
        <v>0.09971</v>
      </c>
      <c r="I105" s="1" t="n">
        <v>0.02667</v>
      </c>
      <c r="J105" s="1" t="n">
        <v>0.0611</v>
      </c>
      <c r="K105" s="1" t="n">
        <v>0.02333</v>
      </c>
      <c r="L105" s="1" t="n">
        <v>0.05783</v>
      </c>
    </row>
    <row r="106" customFormat="false" ht="12.8" hidden="false" customHeight="false" outlineLevel="0" collapsed="false">
      <c r="A106" s="4" t="s">
        <v>15</v>
      </c>
      <c r="B106" s="4" t="n">
        <v>512</v>
      </c>
      <c r="C106" s="4" t="n">
        <v>50</v>
      </c>
      <c r="D106" s="1" t="str">
        <f aca="false">A106&amp;B106&amp;C106</f>
        <v>SDWN IA51250</v>
      </c>
      <c r="E106" s="1" t="n">
        <v>0.07821</v>
      </c>
      <c r="F106" s="1" t="n">
        <v>0.09055</v>
      </c>
      <c r="G106" s="1" t="n">
        <v>0.03846</v>
      </c>
      <c r="H106" s="1" t="n">
        <v>0.0732</v>
      </c>
      <c r="I106" s="1" t="n">
        <v>0.01111</v>
      </c>
      <c r="J106" s="1" t="n">
        <v>0.04157</v>
      </c>
      <c r="K106" s="1" t="n">
        <v>0.00417</v>
      </c>
      <c r="L106" s="1" t="n">
        <v>0.02602</v>
      </c>
    </row>
    <row r="107" customFormat="false" ht="12.8" hidden="false" customHeight="false" outlineLevel="0" collapsed="false">
      <c r="A107" s="4" t="s">
        <v>15</v>
      </c>
      <c r="B107" s="4" t="n">
        <v>512</v>
      </c>
      <c r="C107" s="4" t="n">
        <v>60</v>
      </c>
      <c r="D107" s="1" t="str">
        <f aca="false">A107&amp;B107&amp;C107</f>
        <v>SDWN IA51260</v>
      </c>
      <c r="E107" s="1" t="n">
        <v>0.12778</v>
      </c>
      <c r="F107" s="1" t="n">
        <v>0.12083</v>
      </c>
      <c r="G107" s="1" t="n">
        <v>0.05556</v>
      </c>
      <c r="H107" s="1" t="n">
        <v>0.08315</v>
      </c>
      <c r="I107" s="1" t="n">
        <v>0.01778</v>
      </c>
      <c r="J107" s="1" t="n">
        <v>0.05493</v>
      </c>
      <c r="K107" s="1" t="n">
        <v>0.01556</v>
      </c>
      <c r="L107" s="1" t="n">
        <v>0.04848</v>
      </c>
    </row>
    <row r="108" customFormat="false" ht="12.8" hidden="false" customHeight="false" outlineLevel="0" collapsed="false">
      <c r="A108" s="4" t="s">
        <v>15</v>
      </c>
      <c r="B108" s="4" t="n">
        <v>512</v>
      </c>
      <c r="C108" s="4" t="n">
        <v>70</v>
      </c>
      <c r="D108" s="1" t="str">
        <f aca="false">A108&amp;B108&amp;C108</f>
        <v>SDWN IA51270</v>
      </c>
      <c r="E108" s="1" t="n">
        <v>0.15648</v>
      </c>
      <c r="F108" s="1" t="n">
        <v>0.16589</v>
      </c>
      <c r="G108" s="1" t="n">
        <v>0.09907</v>
      </c>
      <c r="H108" s="1" t="n">
        <v>0.12632</v>
      </c>
      <c r="I108" s="1" t="n">
        <v>0.06373</v>
      </c>
      <c r="J108" s="1" t="n">
        <v>0.10706</v>
      </c>
      <c r="K108" s="1" t="n">
        <v>0.03333</v>
      </c>
      <c r="L108" s="1" t="n">
        <v>0.07584</v>
      </c>
    </row>
    <row r="109" customFormat="false" ht="12.8" hidden="false" customHeight="false" outlineLevel="0" collapsed="false">
      <c r="A109" s="4" t="s">
        <v>15</v>
      </c>
      <c r="B109" s="4" t="n">
        <v>512</v>
      </c>
      <c r="C109" s="4" t="n">
        <v>80</v>
      </c>
      <c r="D109" s="1" t="str">
        <f aca="false">A109&amp;B109&amp;C109</f>
        <v>SDWN IA51280</v>
      </c>
      <c r="E109" s="1" t="n">
        <v>0.1575</v>
      </c>
      <c r="F109" s="1" t="n">
        <v>0.16766</v>
      </c>
      <c r="G109" s="1" t="n">
        <v>0.11083</v>
      </c>
      <c r="H109" s="1" t="n">
        <v>0.13872</v>
      </c>
      <c r="I109" s="1" t="n">
        <v>0.07583</v>
      </c>
      <c r="J109" s="1" t="n">
        <v>0.11761</v>
      </c>
      <c r="K109" s="1" t="n">
        <v>0.0375</v>
      </c>
      <c r="L109" s="1" t="n">
        <v>0.0873</v>
      </c>
    </row>
    <row r="110" customFormat="false" ht="12.8" hidden="false" customHeight="false" outlineLevel="0" collapsed="false">
      <c r="A110" s="4" t="s">
        <v>15</v>
      </c>
      <c r="B110" s="4" t="n">
        <v>512</v>
      </c>
      <c r="C110" s="4" t="n">
        <v>90</v>
      </c>
      <c r="D110" s="1" t="str">
        <f aca="false">A110&amp;B110&amp;C110</f>
        <v>SDWN IA51290</v>
      </c>
      <c r="E110" s="1" t="n">
        <v>0.12536</v>
      </c>
      <c r="F110" s="1" t="n">
        <v>0.12763</v>
      </c>
      <c r="G110" s="1" t="n">
        <v>0.05217</v>
      </c>
      <c r="H110" s="1" t="n">
        <v>0.08755</v>
      </c>
      <c r="I110" s="1" t="n">
        <v>0.01515</v>
      </c>
      <c r="J110" s="1" t="n">
        <v>0.05048</v>
      </c>
      <c r="K110" s="1" t="n">
        <v>0.00379</v>
      </c>
      <c r="L110" s="1" t="n">
        <v>0.02484</v>
      </c>
    </row>
    <row r="111" customFormat="false" ht="12.8" hidden="false" customHeight="false" outlineLevel="0" collapsed="false">
      <c r="A111" s="4" t="s">
        <v>15</v>
      </c>
      <c r="B111" s="4" t="n">
        <v>512</v>
      </c>
      <c r="C111" s="4" t="n">
        <v>100</v>
      </c>
      <c r="D111" s="1" t="str">
        <f aca="false">A111&amp;B111&amp;C111</f>
        <v>SDWN IA512100</v>
      </c>
      <c r="E111" s="1" t="n">
        <v>0.13667</v>
      </c>
      <c r="F111" s="1" t="n">
        <v>0.15524</v>
      </c>
      <c r="G111" s="1" t="n">
        <v>0.072</v>
      </c>
      <c r="H111" s="1" t="n">
        <v>0.10921</v>
      </c>
      <c r="I111" s="1" t="n">
        <v>0.01867</v>
      </c>
      <c r="J111" s="1" t="n">
        <v>0.05463</v>
      </c>
      <c r="K111" s="1" t="n">
        <v>0.00333</v>
      </c>
      <c r="L111" s="1" t="n">
        <v>0.02333</v>
      </c>
    </row>
    <row r="112" customFormat="false" ht="12.8" hidden="false" customHeight="false" outlineLevel="0" collapsed="false">
      <c r="A112" s="4" t="s">
        <v>15</v>
      </c>
      <c r="B112" s="4" t="n">
        <v>1024</v>
      </c>
      <c r="C112" s="4" t="n">
        <v>10</v>
      </c>
      <c r="D112" s="1" t="str">
        <f aca="false">A112&amp;B112&amp;C112</f>
        <v>SDWN IA102410</v>
      </c>
      <c r="E112" s="1" t="n">
        <v>0.01111</v>
      </c>
      <c r="F112" s="1" t="n">
        <v>0.04157</v>
      </c>
      <c r="G112" s="1" t="n">
        <v>0.01111</v>
      </c>
      <c r="H112" s="1" t="n">
        <v>0.04157</v>
      </c>
      <c r="I112" s="1" t="n">
        <v>0.00833</v>
      </c>
      <c r="J112" s="1" t="n">
        <v>0.03632</v>
      </c>
      <c r="K112" s="1" t="n">
        <v>0</v>
      </c>
      <c r="L112" s="1" t="n">
        <v>0</v>
      </c>
    </row>
    <row r="113" customFormat="false" ht="12.8" hidden="false" customHeight="false" outlineLevel="0" collapsed="false">
      <c r="A113" s="4" t="s">
        <v>15</v>
      </c>
      <c r="B113" s="4" t="n">
        <v>1024</v>
      </c>
      <c r="C113" s="4" t="n">
        <v>20</v>
      </c>
      <c r="D113" s="1" t="str">
        <f aca="false">A113&amp;B113&amp;C113</f>
        <v>SDWN IA102420</v>
      </c>
      <c r="E113" s="1" t="n">
        <v>0.01667</v>
      </c>
      <c r="F113" s="1" t="n">
        <v>0.05</v>
      </c>
      <c r="G113" s="1" t="n">
        <v>0.03333</v>
      </c>
      <c r="H113" s="1" t="n">
        <v>0.06667</v>
      </c>
      <c r="I113" s="1" t="n">
        <v>0.02</v>
      </c>
      <c r="J113" s="1" t="n">
        <v>0.05416</v>
      </c>
      <c r="K113" s="1" t="n">
        <v>0</v>
      </c>
      <c r="L113" s="1" t="n">
        <v>0</v>
      </c>
    </row>
    <row r="114" customFormat="false" ht="12.8" hidden="false" customHeight="false" outlineLevel="0" collapsed="false">
      <c r="A114" s="4" t="s">
        <v>15</v>
      </c>
      <c r="B114" s="4" t="n">
        <v>1024</v>
      </c>
      <c r="C114" s="4" t="n">
        <v>30</v>
      </c>
      <c r="D114" s="1" t="str">
        <f aca="false">A114&amp;B114&amp;C114</f>
        <v>SDWN IA102430</v>
      </c>
      <c r="E114" s="1" t="n">
        <v>0.05417</v>
      </c>
      <c r="F114" s="1" t="n">
        <v>0.08239</v>
      </c>
      <c r="G114" s="1" t="n">
        <v>0.01875</v>
      </c>
      <c r="H114" s="1" t="n">
        <v>0.05266</v>
      </c>
      <c r="I114" s="1" t="n">
        <v>0.01429</v>
      </c>
      <c r="J114" s="1" t="n">
        <v>0.0545</v>
      </c>
      <c r="K114" s="1" t="n">
        <v>0.00714</v>
      </c>
      <c r="L114" s="1" t="n">
        <v>0.03376</v>
      </c>
    </row>
    <row r="115" customFormat="false" ht="12.8" hidden="false" customHeight="false" outlineLevel="0" collapsed="false">
      <c r="A115" s="4" t="s">
        <v>15</v>
      </c>
      <c r="B115" s="4" t="n">
        <v>1024</v>
      </c>
      <c r="C115" s="4" t="n">
        <v>40</v>
      </c>
      <c r="D115" s="1" t="str">
        <f aca="false">A115&amp;B115&amp;C115</f>
        <v>SDWN IA102440</v>
      </c>
      <c r="E115" s="1" t="n">
        <v>0.085</v>
      </c>
      <c r="F115" s="1" t="n">
        <v>0.09859</v>
      </c>
      <c r="G115" s="1" t="n">
        <v>0.03833</v>
      </c>
      <c r="H115" s="1" t="n">
        <v>0.07399</v>
      </c>
      <c r="I115" s="1" t="n">
        <v>0.03</v>
      </c>
      <c r="J115" s="1" t="n">
        <v>0.06403</v>
      </c>
      <c r="K115" s="1" t="n">
        <v>0.00667</v>
      </c>
      <c r="L115" s="1" t="n">
        <v>0.03266</v>
      </c>
    </row>
    <row r="116" customFormat="false" ht="12.8" hidden="false" customHeight="false" outlineLevel="0" collapsed="false">
      <c r="A116" s="4" t="s">
        <v>15</v>
      </c>
      <c r="B116" s="4" t="n">
        <v>1024</v>
      </c>
      <c r="C116" s="4" t="n">
        <v>50</v>
      </c>
      <c r="D116" s="1" t="str">
        <f aca="false">A116&amp;B116&amp;C116</f>
        <v>SDWN IA102450</v>
      </c>
      <c r="E116" s="1" t="n">
        <v>0.1</v>
      </c>
      <c r="F116" s="1" t="n">
        <v>0.11983</v>
      </c>
      <c r="G116" s="1" t="n">
        <v>0.06026</v>
      </c>
      <c r="H116" s="1" t="n">
        <v>0.10337</v>
      </c>
      <c r="I116" s="1" t="n">
        <v>0.03889</v>
      </c>
      <c r="J116" s="1" t="n">
        <v>0.07974</v>
      </c>
      <c r="K116" s="1" t="n">
        <v>0.01667</v>
      </c>
      <c r="L116" s="1" t="n">
        <v>0.05</v>
      </c>
    </row>
    <row r="117" customFormat="false" ht="12.8" hidden="false" customHeight="false" outlineLevel="0" collapsed="false">
      <c r="A117" s="4" t="s">
        <v>15</v>
      </c>
      <c r="B117" s="4" t="n">
        <v>1024</v>
      </c>
      <c r="C117" s="4" t="n">
        <v>60</v>
      </c>
      <c r="D117" s="1" t="str">
        <f aca="false">A117&amp;B117&amp;C117</f>
        <v>SDWN IA102460</v>
      </c>
      <c r="E117" s="1" t="n">
        <v>0.12222</v>
      </c>
      <c r="F117" s="1" t="n">
        <v>0.11653</v>
      </c>
      <c r="G117" s="1" t="n">
        <v>0.05667</v>
      </c>
      <c r="H117" s="1" t="n">
        <v>0.08126</v>
      </c>
      <c r="I117" s="1" t="n">
        <v>0.01778</v>
      </c>
      <c r="J117" s="1" t="n">
        <v>0.0613</v>
      </c>
      <c r="K117" s="1" t="n">
        <v>0.00889</v>
      </c>
      <c r="L117" s="1" t="n">
        <v>0.04211</v>
      </c>
    </row>
    <row r="118" customFormat="false" ht="12.8" hidden="false" customHeight="false" outlineLevel="0" collapsed="false">
      <c r="A118" s="4" t="s">
        <v>15</v>
      </c>
      <c r="B118" s="4" t="n">
        <v>1024</v>
      </c>
      <c r="C118" s="4" t="n">
        <v>70</v>
      </c>
      <c r="D118" s="1" t="str">
        <f aca="false">A118&amp;B118&amp;C118</f>
        <v>SDWN IA102470</v>
      </c>
      <c r="E118" s="1" t="n">
        <v>0.09352</v>
      </c>
      <c r="F118" s="1" t="n">
        <v>0.10269</v>
      </c>
      <c r="G118" s="1" t="n">
        <v>0.06019</v>
      </c>
      <c r="H118" s="1" t="n">
        <v>0.08564</v>
      </c>
      <c r="I118" s="1" t="n">
        <v>0.02157</v>
      </c>
      <c r="J118" s="1" t="n">
        <v>0.05879</v>
      </c>
      <c r="K118" s="1" t="n">
        <v>0.00882</v>
      </c>
      <c r="L118" s="1" t="n">
        <v>0.03732</v>
      </c>
    </row>
    <row r="119" customFormat="false" ht="12.8" hidden="false" customHeight="false" outlineLevel="0" collapsed="false">
      <c r="A119" s="4" t="s">
        <v>15</v>
      </c>
      <c r="B119" s="4" t="n">
        <v>1024</v>
      </c>
      <c r="C119" s="4" t="n">
        <v>80</v>
      </c>
      <c r="D119" s="1" t="str">
        <f aca="false">A119&amp;B119&amp;C119</f>
        <v>SDWN IA102480</v>
      </c>
      <c r="E119" s="1" t="n">
        <v>0.1</v>
      </c>
      <c r="F119" s="1" t="n">
        <v>0.10801</v>
      </c>
      <c r="G119" s="1" t="n">
        <v>0.0475</v>
      </c>
      <c r="H119" s="1" t="n">
        <v>0.07706</v>
      </c>
      <c r="I119" s="1" t="n">
        <v>0.0175</v>
      </c>
      <c r="J119" s="1" t="n">
        <v>0.05109</v>
      </c>
      <c r="K119" s="1" t="n">
        <v>0.00335</v>
      </c>
      <c r="L119" s="1" t="n">
        <v>0.02339</v>
      </c>
    </row>
    <row r="120" customFormat="false" ht="12.8" hidden="false" customHeight="false" outlineLevel="0" collapsed="false">
      <c r="A120" s="4" t="s">
        <v>15</v>
      </c>
      <c r="B120" s="4" t="n">
        <v>1024</v>
      </c>
      <c r="C120" s="4" t="n">
        <v>90</v>
      </c>
      <c r="D120" s="1" t="str">
        <f aca="false">A120&amp;B120&amp;C120</f>
        <v>SDWN IA102490</v>
      </c>
      <c r="E120" s="1" t="n">
        <v>0.09275</v>
      </c>
      <c r="F120" s="1" t="n">
        <v>0.10585</v>
      </c>
      <c r="G120" s="1" t="n">
        <v>0.02826</v>
      </c>
      <c r="H120" s="1" t="n">
        <v>0.06444</v>
      </c>
      <c r="I120" s="1" t="n">
        <v>0.00455</v>
      </c>
      <c r="J120" s="1" t="n">
        <v>0.02715</v>
      </c>
      <c r="K120" s="1" t="n">
        <v>0</v>
      </c>
      <c r="L120" s="1" t="n">
        <v>0</v>
      </c>
    </row>
    <row r="121" customFormat="false" ht="12.8" hidden="false" customHeight="false" outlineLevel="0" collapsed="false">
      <c r="A121" s="4" t="s">
        <v>15</v>
      </c>
      <c r="B121" s="4" t="n">
        <v>1024</v>
      </c>
      <c r="C121" s="4" t="n">
        <v>100</v>
      </c>
      <c r="D121" s="1" t="str">
        <f aca="false">A121&amp;B121&amp;C121</f>
        <v>SDWN IA1024100</v>
      </c>
      <c r="E121" s="1" t="n">
        <v>0.09867</v>
      </c>
      <c r="F121" s="1" t="n">
        <v>0.10561</v>
      </c>
      <c r="G121" s="1" t="n">
        <v>0.02667</v>
      </c>
      <c r="H121" s="1" t="n">
        <v>0.06289</v>
      </c>
      <c r="I121" s="1" t="n">
        <v>0.00733</v>
      </c>
      <c r="J121" s="1" t="n">
        <v>0.03418</v>
      </c>
      <c r="K121" s="1" t="n">
        <v>0.00133</v>
      </c>
      <c r="L121" s="1" t="n">
        <v>0.01485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8" activeCellId="0" sqref="D8"/>
    </sheetView>
  </sheetViews>
  <sheetFormatPr defaultColWidth="11.53515625" defaultRowHeight="12.8" zeroHeight="false" outlineLevelRow="0" outlineLevelCol="0"/>
  <cols>
    <col collapsed="false" customWidth="true" hidden="false" outlineLevel="0" max="13" min="13" style="1" width="21.28"/>
  </cols>
  <sheetData>
    <row r="1" customFormat="false" ht="13.8" hidden="false" customHeight="false" outlineLevel="0" collapsed="false">
      <c r="A1" s="5" t="s">
        <v>1</v>
      </c>
      <c r="B1" s="5" t="s">
        <v>16</v>
      </c>
      <c r="C1" s="6"/>
      <c r="D1" s="5" t="s">
        <v>17</v>
      </c>
      <c r="E1" s="7" t="s">
        <v>18</v>
      </c>
      <c r="F1" s="7"/>
      <c r="G1" s="7" t="s">
        <v>19</v>
      </c>
      <c r="H1" s="7"/>
      <c r="I1" s="7" t="s">
        <v>20</v>
      </c>
      <c r="J1" s="7"/>
      <c r="K1" s="7" t="s">
        <v>21</v>
      </c>
      <c r="L1" s="7"/>
    </row>
    <row r="2" customFormat="false" ht="13.8" hidden="false" customHeight="false" outlineLevel="0" collapsed="false">
      <c r="A2" s="5"/>
      <c r="B2" s="5"/>
      <c r="C2" s="4"/>
      <c r="D2" s="5"/>
      <c r="E2" s="3" t="s">
        <v>22</v>
      </c>
      <c r="F2" s="3" t="s">
        <v>23</v>
      </c>
      <c r="G2" s="3" t="s">
        <v>22</v>
      </c>
      <c r="H2" s="3" t="s">
        <v>23</v>
      </c>
      <c r="I2" s="3" t="s">
        <v>22</v>
      </c>
      <c r="J2" s="3" t="s">
        <v>23</v>
      </c>
      <c r="K2" s="3" t="s">
        <v>22</v>
      </c>
      <c r="L2" s="3" t="s">
        <v>23</v>
      </c>
      <c r="M2" s="1" t="s">
        <v>3</v>
      </c>
    </row>
    <row r="3" customFormat="false" ht="12.8" hidden="false" customHeight="false" outlineLevel="0" collapsed="false">
      <c r="A3" s="4" t="n">
        <v>256</v>
      </c>
      <c r="B3" s="4" t="n">
        <v>10</v>
      </c>
      <c r="C3" s="4" t="s">
        <v>24</v>
      </c>
      <c r="D3" s="4" t="s">
        <v>12</v>
      </c>
      <c r="E3" s="8" t="n">
        <f aca="false">IFERROR(VLOOKUP($M3, Delay!$D$2:$L$200, 2, 0),0)</f>
        <v>0.19976</v>
      </c>
      <c r="F3" s="8" t="n">
        <f aca="false">IFERROR(VLOOKUP($M3, Delay!$D$2:$L$200, 3, 0),0)*2.262 /SQRT(10)</f>
        <v>0.0573890971959549</v>
      </c>
      <c r="G3" s="8" t="n">
        <f aca="false">IFERROR(VLOOKUP($M3, Delay!$D$2:$L$200, 4, 0),0)</f>
        <v>0.16788</v>
      </c>
      <c r="H3" s="8" t="n">
        <f aca="false">IFERROR(VLOOKUP($M3, Delay!$D$2:$L$200, 5, 0),0)*2.262 /SQRT(10)</f>
        <v>0.0508583423985092</v>
      </c>
      <c r="I3" s="8" t="n">
        <f aca="false">IFERROR(VLOOKUP($M3, Delay!$D$2:$L$200, 6, 0),0)</f>
        <v>0.20745</v>
      </c>
      <c r="J3" s="8" t="n">
        <f aca="false">IFERROR(VLOOKUP($M3, Delay!$D$2:$L$200, 7, 0),0)*2.262 /SQRT(10)</f>
        <v>0.0583404557809059</v>
      </c>
      <c r="K3" s="8" t="n">
        <f aca="false">IFERROR(VLOOKUP($M3, Delay!$D$2:$L$200, 8, 0),0)</f>
        <v>0.18146</v>
      </c>
      <c r="L3" s="8" t="n">
        <f aca="false">IFERROR(VLOOKUP($M3, Delay!$D$2:$L$200, 9, 0),0)*2.262 /SQRT(10)</f>
        <v>0.0541487555494676</v>
      </c>
      <c r="M3" s="1" t="str">
        <f aca="false">D3&amp;A3&amp;B3</f>
        <v>NO SDWN25610</v>
      </c>
    </row>
    <row r="4" customFormat="false" ht="12.8" hidden="false" customHeight="false" outlineLevel="0" collapsed="false">
      <c r="A4" s="4" t="n">
        <v>256</v>
      </c>
      <c r="B4" s="4" t="n">
        <v>10</v>
      </c>
      <c r="C4" s="4"/>
      <c r="D4" s="4" t="s">
        <v>13</v>
      </c>
      <c r="E4" s="8" t="n">
        <f aca="false">IFERROR(VLOOKUP($M4, Delay!$D$2:$L$200, 2, 0),0)</f>
        <v>0.1624</v>
      </c>
      <c r="F4" s="8" t="n">
        <f aca="false">IFERROR(VLOOKUP($M4, Delay!$D$2:$L$200, 3, 0),0)*2.262 /SQRT(10)</f>
        <v>0.0386766606678958</v>
      </c>
      <c r="G4" s="8" t="n">
        <f aca="false">IFERROR(VLOOKUP($M4, Delay!$D$2:$L$200, 4, 0),0)</f>
        <v>0.14267</v>
      </c>
      <c r="H4" s="8" t="n">
        <f aca="false">IFERROR(VLOOKUP($M4, Delay!$D$2:$L$200, 5, 0),0)*2.262 /SQRT(10)</f>
        <v>0.0310872512044896</v>
      </c>
      <c r="I4" s="8" t="n">
        <f aca="false">IFERROR(VLOOKUP($M4, Delay!$D$2:$L$200, 6, 0),0)</f>
        <v>0.20413</v>
      </c>
      <c r="J4" s="8" t="n">
        <f aca="false">IFERROR(VLOOKUP($M4, Delay!$D$2:$L$200, 7, 0),0)*2.262 /SQRT(10)</f>
        <v>0.0537553365857661</v>
      </c>
      <c r="K4" s="8" t="n">
        <f aca="false">IFERROR(VLOOKUP($M4, Delay!$D$2:$L$200, 8, 0),0)</f>
        <v>0.181</v>
      </c>
      <c r="L4" s="8" t="n">
        <f aca="false">IFERROR(VLOOKUP($M4, Delay!$D$2:$L$200, 9, 0),0)*2.262 /SQRT(10)</f>
        <v>0.0606437449865768</v>
      </c>
      <c r="M4" s="1" t="str">
        <f aca="false">D4&amp;A4&amp;B4</f>
        <v>SDWN EDCA25610</v>
      </c>
    </row>
    <row r="5" customFormat="false" ht="12.8" hidden="false" customHeight="false" outlineLevel="0" collapsed="false">
      <c r="A5" s="4" t="n">
        <v>256</v>
      </c>
      <c r="B5" s="4" t="n">
        <v>10</v>
      </c>
      <c r="C5" s="4"/>
      <c r="D5" s="4" t="s">
        <v>14</v>
      </c>
      <c r="E5" s="8" t="n">
        <f aca="false">IFERROR(VLOOKUP($M5, Delay!$D$2:$L$200, 2, 0),0)</f>
        <v>0.21486</v>
      </c>
      <c r="F5" s="8" t="n">
        <f aca="false">IFERROR(VLOOKUP($M5, Delay!$D$2:$L$200, 3, 0),0)*2.262 /SQRT(10)</f>
        <v>0.0652288641817167</v>
      </c>
      <c r="G5" s="8" t="n">
        <f aca="false">IFERROR(VLOOKUP($M5, Delay!$D$2:$L$200, 4, 0),0)</f>
        <v>0.17467</v>
      </c>
      <c r="H5" s="8" t="n">
        <f aca="false">IFERROR(VLOOKUP($M5, Delay!$D$2:$L$200, 5, 0),0)*2.262 /SQRT(10)</f>
        <v>0.0575250055652336</v>
      </c>
      <c r="I5" s="8" t="n">
        <f aca="false">IFERROR(VLOOKUP($M5, Delay!$D$2:$L$200, 6, 0),0)</f>
        <v>0.20322</v>
      </c>
      <c r="J5" s="8" t="n">
        <f aca="false">IFERROR(VLOOKUP($M5, Delay!$D$2:$L$200, 7, 0),0)*2.262 /SQRT(10)</f>
        <v>0.0542131331980733</v>
      </c>
      <c r="K5" s="8" t="n">
        <f aca="false">IFERROR(VLOOKUP($M5, Delay!$D$2:$L$200, 8, 0),0)</f>
        <v>0.1885</v>
      </c>
      <c r="L5" s="8" t="n">
        <f aca="false">IFERROR(VLOOKUP($M5, Delay!$D$2:$L$200, 9, 0),0)*2.262 /SQRT(10)</f>
        <v>0.0659799367487833</v>
      </c>
      <c r="M5" s="1" t="str">
        <f aca="false">D5&amp;A5&amp;B5</f>
        <v>SDWN MOD25610</v>
      </c>
    </row>
    <row r="6" customFormat="false" ht="12.8" hidden="false" customHeight="false" outlineLevel="0" collapsed="false">
      <c r="A6" s="4" t="n">
        <v>256</v>
      </c>
      <c r="B6" s="4" t="n">
        <v>10</v>
      </c>
      <c r="C6" s="4"/>
      <c r="D6" s="4" t="s">
        <v>15</v>
      </c>
      <c r="E6" s="8" t="n">
        <f aca="false">IFERROR(VLOOKUP($M6, Delay!$D$2:$L$200, 2, 0),0)</f>
        <v>0.14655</v>
      </c>
      <c r="F6" s="8" t="n">
        <f aca="false">IFERROR(VLOOKUP($M6, Delay!$D$2:$L$200, 3, 0),0)*2.262 /SQRT(10)</f>
        <v>0.0315593539609315</v>
      </c>
      <c r="G6" s="8" t="n">
        <f aca="false">IFERROR(VLOOKUP($M6, Delay!$D$2:$L$200, 4, 0),0)</f>
        <v>0.14176</v>
      </c>
      <c r="H6" s="8" t="n">
        <f aca="false">IFERROR(VLOOKUP($M6, Delay!$D$2:$L$200, 5, 0),0)*2.262 /SQRT(10)</f>
        <v>0.0297567797999716</v>
      </c>
      <c r="I6" s="8" t="n">
        <f aca="false">IFERROR(VLOOKUP($M6, Delay!$D$2:$L$200, 6, 0),0)</f>
        <v>0.14582</v>
      </c>
      <c r="J6" s="8" t="n">
        <f aca="false">IFERROR(VLOOKUP($M6, Delay!$D$2:$L$200, 7, 0),0)*2.262 /SQRT(10)</f>
        <v>0.0420314514674599</v>
      </c>
      <c r="K6" s="8" t="n">
        <f aca="false">IFERROR(VLOOKUP($M6, Delay!$D$2:$L$200, 8, 0),0)</f>
        <v>0.1415</v>
      </c>
      <c r="L6" s="8" t="n">
        <f aca="false">IFERROR(VLOOKUP($M6, Delay!$D$2:$L$200, 9, 0),0)*2.262 /SQRT(10)</f>
        <v>0.0466594890950036</v>
      </c>
      <c r="M6" s="1" t="str">
        <f aca="false">D6&amp;A6&amp;B6</f>
        <v>SDWN IA25610</v>
      </c>
    </row>
    <row r="7" customFormat="false" ht="12.8" hidden="false" customHeight="false" outlineLevel="0" collapsed="false">
      <c r="A7" s="4" t="n">
        <v>256</v>
      </c>
      <c r="B7" s="4" t="n">
        <v>20</v>
      </c>
      <c r="C7" s="4" t="s">
        <v>25</v>
      </c>
      <c r="D7" s="4" t="s">
        <v>12</v>
      </c>
      <c r="E7" s="8" t="n">
        <f aca="false">IFERROR(VLOOKUP($M7, Delay!$D$2:$L$200, 2, 0),0)</f>
        <v>0.22666</v>
      </c>
      <c r="F7" s="8" t="n">
        <f aca="false">IFERROR(VLOOKUP($M7, Delay!$D$2:$L$200, 3, 0),0)*2.262 /SQRT(10)</f>
        <v>0.0697853710885873</v>
      </c>
      <c r="G7" s="8" t="n">
        <f aca="false">IFERROR(VLOOKUP($M7, Delay!$D$2:$L$200, 4, 0),0)</f>
        <v>0.18668</v>
      </c>
      <c r="H7" s="8" t="n">
        <f aca="false">IFERROR(VLOOKUP($M7, Delay!$D$2:$L$200, 5, 0),0)*2.262 /SQRT(10)</f>
        <v>0.0646852307046018</v>
      </c>
      <c r="I7" s="8" t="n">
        <f aca="false">IFERROR(VLOOKUP($M7, Delay!$D$2:$L$200, 6, 0),0)</f>
        <v>0.16038</v>
      </c>
      <c r="J7" s="8" t="n">
        <f aca="false">IFERROR(VLOOKUP($M7, Delay!$D$2:$L$200, 7, 0),0)*2.262 /SQRT(10)</f>
        <v>0.052160201514758</v>
      </c>
      <c r="K7" s="8" t="n">
        <f aca="false">IFERROR(VLOOKUP($M7, Delay!$D$2:$L$200, 8, 0),0)</f>
        <v>0.18505</v>
      </c>
      <c r="L7" s="8" t="n">
        <f aca="false">IFERROR(VLOOKUP($M7, Delay!$D$2:$L$200, 9, 0),0)*2.262 /SQRT(10)</f>
        <v>0.0634262900207569</v>
      </c>
      <c r="M7" s="1" t="str">
        <f aca="false">D7&amp;A7&amp;B7</f>
        <v>NO SDWN25620</v>
      </c>
    </row>
    <row r="8" customFormat="false" ht="12.8" hidden="false" customHeight="false" outlineLevel="0" collapsed="false">
      <c r="A8" s="4" t="n">
        <v>256</v>
      </c>
      <c r="B8" s="4" t="n">
        <v>20</v>
      </c>
      <c r="C8" s="4"/>
      <c r="D8" s="4" t="s">
        <v>13</v>
      </c>
      <c r="E8" s="8" t="n">
        <f aca="false">IFERROR(VLOOKUP($M8, Delay!$D$2:$L$200, 2, 0),0)</f>
        <v>0.16176</v>
      </c>
      <c r="F8" s="8" t="n">
        <f aca="false">IFERROR(VLOOKUP($M8, Delay!$D$2:$L$200, 3, 0),0)*2.262 /SQRT(10)</f>
        <v>0.0389627835505879</v>
      </c>
      <c r="G8" s="8" t="n">
        <f aca="false">IFERROR(VLOOKUP($M8, Delay!$D$2:$L$200, 4, 0),0)</f>
        <v>0.16214</v>
      </c>
      <c r="H8" s="8" t="n">
        <f aca="false">IFERROR(VLOOKUP($M8, Delay!$D$2:$L$200, 5, 0),0)*2.262 /SQRT(10)</f>
        <v>0.0531330193159109</v>
      </c>
      <c r="I8" s="8" t="n">
        <f aca="false">IFERROR(VLOOKUP($M8, Delay!$D$2:$L$200, 6, 0),0)</f>
        <v>0.16458</v>
      </c>
      <c r="J8" s="8" t="n">
        <f aca="false">IFERROR(VLOOKUP($M8, Delay!$D$2:$L$200, 7, 0),0)*2.262 /SQRT(10)</f>
        <v>0.057510699421099</v>
      </c>
      <c r="K8" s="8" t="n">
        <f aca="false">IFERROR(VLOOKUP($M8, Delay!$D$2:$L$200, 8, 0),0)</f>
        <v>0.19293</v>
      </c>
      <c r="L8" s="8" t="n">
        <f aca="false">IFERROR(VLOOKUP($M8, Delay!$D$2:$L$200, 9, 0),0)*2.262 /SQRT(10)</f>
        <v>0.0658654875957064</v>
      </c>
      <c r="M8" s="1" t="str">
        <f aca="false">D8&amp;A8&amp;B8</f>
        <v>SDWN EDCA25620</v>
      </c>
    </row>
    <row r="9" customFormat="false" ht="12.8" hidden="false" customHeight="false" outlineLevel="0" collapsed="false">
      <c r="A9" s="4" t="n">
        <v>256</v>
      </c>
      <c r="B9" s="4" t="n">
        <v>20</v>
      </c>
      <c r="C9" s="4"/>
      <c r="D9" s="4" t="s">
        <v>14</v>
      </c>
      <c r="E9" s="8" t="n">
        <f aca="false">IFERROR(VLOOKUP($M9, Delay!$D$2:$L$200, 2, 0),0)</f>
        <v>0.2233</v>
      </c>
      <c r="F9" s="8" t="n">
        <f aca="false">IFERROR(VLOOKUP($M9, Delay!$D$2:$L$200, 3, 0),0)*2.262 /SQRT(10)</f>
        <v>0.0728969574378632</v>
      </c>
      <c r="G9" s="8" t="n">
        <f aca="false">IFERROR(VLOOKUP($M9, Delay!$D$2:$L$200, 4, 0),0)</f>
        <v>0.18988</v>
      </c>
      <c r="H9" s="8" t="n">
        <f aca="false">IFERROR(VLOOKUP($M9, Delay!$D$2:$L$200, 5, 0),0)*2.262 /SQRT(10)</f>
        <v>0.0700929531874813</v>
      </c>
      <c r="I9" s="8" t="n">
        <f aca="false">IFERROR(VLOOKUP($M9, Delay!$D$2:$L$200, 6, 0),0)</f>
        <v>0.16422</v>
      </c>
      <c r="J9" s="8" t="n">
        <f aca="false">IFERROR(VLOOKUP($M9, Delay!$D$2:$L$200, 7, 0),0)*2.262 /SQRT(10)</f>
        <v>0.0600285807887889</v>
      </c>
      <c r="K9" s="8" t="n">
        <f aca="false">IFERROR(VLOOKUP($M9, Delay!$D$2:$L$200, 8, 0),0)</f>
        <v>0.191</v>
      </c>
      <c r="L9" s="8" t="n">
        <f aca="false">IFERROR(VLOOKUP($M9, Delay!$D$2:$L$200, 9, 0),0)*2.262 /SQRT(10)</f>
        <v>0.0659298652443122</v>
      </c>
      <c r="M9" s="1" t="str">
        <f aca="false">D9&amp;A9&amp;B9</f>
        <v>SDWN MOD25620</v>
      </c>
    </row>
    <row r="10" customFormat="false" ht="12.8" hidden="false" customHeight="false" outlineLevel="0" collapsed="false">
      <c r="A10" s="4" t="n">
        <v>256</v>
      </c>
      <c r="B10" s="4" t="n">
        <v>20</v>
      </c>
      <c r="C10" s="4"/>
      <c r="D10" s="4" t="s">
        <v>15</v>
      </c>
      <c r="E10" s="8" t="n">
        <f aca="false">IFERROR(VLOOKUP($M10, Delay!$D$2:$L$200, 2, 0),0)</f>
        <v>0.20264</v>
      </c>
      <c r="F10" s="8" t="n">
        <f aca="false">IFERROR(VLOOKUP($M10, Delay!$D$2:$L$200, 3, 0),0)*2.262 /SQRT(10)</f>
        <v>0.182167286337951</v>
      </c>
      <c r="G10" s="8" t="n">
        <f aca="false">IFERROR(VLOOKUP($M10, Delay!$D$2:$L$200, 4, 0),0)</f>
        <v>0.16841</v>
      </c>
      <c r="H10" s="8" t="n">
        <f aca="false">IFERROR(VLOOKUP($M10, Delay!$D$2:$L$200, 5, 0),0)*2.262 /SQRT(10)</f>
        <v>0.045243180825678</v>
      </c>
      <c r="I10" s="8" t="n">
        <f aca="false">IFERROR(VLOOKUP($M10, Delay!$D$2:$L$200, 6, 0),0)</f>
        <v>0.14864</v>
      </c>
      <c r="J10" s="8" t="n">
        <f aca="false">IFERROR(VLOOKUP($M10, Delay!$D$2:$L$200, 7, 0),0)*2.262 /SQRT(10)</f>
        <v>0.0399499074958754</v>
      </c>
      <c r="K10" s="8" t="n">
        <f aca="false">IFERROR(VLOOKUP($M10, Delay!$D$2:$L$200, 8, 0),0)</f>
        <v>0.1708</v>
      </c>
      <c r="L10" s="8" t="n">
        <f aca="false">IFERROR(VLOOKUP($M10, Delay!$D$2:$L$200, 9, 0),0)*2.262 /SQRT(10)</f>
        <v>0.0583261496367713</v>
      </c>
      <c r="M10" s="1" t="str">
        <f aca="false">D10&amp;A10&amp;B10</f>
        <v>SDWN IA25620</v>
      </c>
    </row>
    <row r="11" customFormat="false" ht="12.8" hidden="false" customHeight="false" outlineLevel="0" collapsed="false">
      <c r="A11" s="4" t="n">
        <v>256</v>
      </c>
      <c r="B11" s="4" t="n">
        <v>30</v>
      </c>
      <c r="C11" s="4" t="s">
        <v>26</v>
      </c>
      <c r="D11" s="4" t="s">
        <v>12</v>
      </c>
      <c r="E11" s="8" t="n">
        <f aca="false">IFERROR(VLOOKUP($M11, Delay!$D$2:$L$200, 2, 0),0)</f>
        <v>0.24792</v>
      </c>
      <c r="F11" s="8" t="n">
        <f aca="false">IFERROR(VLOOKUP($M11, Delay!$D$2:$L$200, 3, 0),0)*2.262 /SQRT(10)</f>
        <v>0.0833261365119879</v>
      </c>
      <c r="G11" s="8" t="n">
        <f aca="false">IFERROR(VLOOKUP($M11, Delay!$D$2:$L$200, 4, 0),0)</f>
        <v>0.1987</v>
      </c>
      <c r="H11" s="8" t="n">
        <f aca="false">IFERROR(VLOOKUP($M11, Delay!$D$2:$L$200, 5, 0),0)*2.262 /SQRT(10)</f>
        <v>0.0594634880954722</v>
      </c>
      <c r="I11" s="8" t="n">
        <f aca="false">IFERROR(VLOOKUP($M11, Delay!$D$2:$L$200, 6, 0),0)</f>
        <v>0.16873</v>
      </c>
      <c r="J11" s="8" t="n">
        <f aca="false">IFERROR(VLOOKUP($M11, Delay!$D$2:$L$200, 7, 0),0)*2.262 /SQRT(10)</f>
        <v>0.0566952492054267</v>
      </c>
      <c r="K11" s="8" t="n">
        <f aca="false">IFERROR(VLOOKUP($M11, Delay!$D$2:$L$200, 8, 0),0)</f>
        <v>0.17811</v>
      </c>
      <c r="L11" s="8" t="n">
        <f aca="false">IFERROR(VLOOKUP($M11, Delay!$D$2:$L$200, 9, 0),0)*2.262 /SQRT(10)</f>
        <v>0.0586909563122037</v>
      </c>
      <c r="M11" s="1" t="str">
        <f aca="false">D11&amp;A11&amp;B11</f>
        <v>NO SDWN25630</v>
      </c>
    </row>
    <row r="12" customFormat="false" ht="12.8" hidden="false" customHeight="false" outlineLevel="0" collapsed="false">
      <c r="A12" s="4" t="n">
        <v>256</v>
      </c>
      <c r="B12" s="4" t="n">
        <v>30</v>
      </c>
      <c r="C12" s="4"/>
      <c r="D12" s="4" t="s">
        <v>13</v>
      </c>
      <c r="E12" s="8" t="n">
        <f aca="false">IFERROR(VLOOKUP($M12, Delay!$D$2:$L$200, 2, 0),0)</f>
        <v>0.17869</v>
      </c>
      <c r="F12" s="8" t="n">
        <f aca="false">IFERROR(VLOOKUP($M12, Delay!$D$2:$L$200, 3, 0),0)*2.262 /SQRT(10)</f>
        <v>0.0528898148656227</v>
      </c>
      <c r="G12" s="8" t="n">
        <f aca="false">IFERROR(VLOOKUP($M12, Delay!$D$2:$L$200, 4, 0),0)</f>
        <v>0.1758</v>
      </c>
      <c r="H12" s="8" t="n">
        <f aca="false">IFERROR(VLOOKUP($M12, Delay!$D$2:$L$200, 5, 0),0)*2.262 /SQRT(10)</f>
        <v>0.0531258662438436</v>
      </c>
      <c r="I12" s="8" t="n">
        <f aca="false">IFERROR(VLOOKUP($M12, Delay!$D$2:$L$200, 6, 0),0)</f>
        <v>0.17045</v>
      </c>
      <c r="J12" s="8" t="n">
        <f aca="false">IFERROR(VLOOKUP($M12, Delay!$D$2:$L$200, 7, 0),0)*2.262 /SQRT(10)</f>
        <v>0.061051470094413</v>
      </c>
      <c r="K12" s="8" t="n">
        <f aca="false">IFERROR(VLOOKUP($M12, Delay!$D$2:$L$200, 8, 0),0)</f>
        <v>0.18127</v>
      </c>
      <c r="L12" s="8" t="n">
        <f aca="false">IFERROR(VLOOKUP($M12, Delay!$D$2:$L$200, 9, 0),0)*2.262 /SQRT(10)</f>
        <v>0.0604219997524905</v>
      </c>
      <c r="M12" s="1" t="str">
        <f aca="false">D12&amp;A12&amp;B12</f>
        <v>SDWN EDCA25630</v>
      </c>
    </row>
    <row r="13" customFormat="false" ht="12.8" hidden="false" customHeight="false" outlineLevel="0" collapsed="false">
      <c r="A13" s="4" t="n">
        <v>256</v>
      </c>
      <c r="B13" s="4" t="n">
        <v>30</v>
      </c>
      <c r="C13" s="4"/>
      <c r="D13" s="4" t="s">
        <v>14</v>
      </c>
      <c r="E13" s="8" t="n">
        <f aca="false">IFERROR(VLOOKUP($M13, Delay!$D$2:$L$200, 2, 0),0)</f>
        <v>0.22969</v>
      </c>
      <c r="F13" s="8" t="n">
        <f aca="false">IFERROR(VLOOKUP($M13, Delay!$D$2:$L$200, 3, 0),0)*2.262 /SQRT(10)</f>
        <v>0.0725249976903636</v>
      </c>
      <c r="G13" s="8" t="n">
        <f aca="false">IFERROR(VLOOKUP($M13, Delay!$D$2:$L$200, 4, 0),0)</f>
        <v>0.20205</v>
      </c>
      <c r="H13" s="8" t="n">
        <f aca="false">IFERROR(VLOOKUP($M13, Delay!$D$2:$L$200, 5, 0),0)*2.262 /SQRT(10)</f>
        <v>0.069849748737193</v>
      </c>
      <c r="I13" s="8" t="n">
        <f aca="false">IFERROR(VLOOKUP($M13, Delay!$D$2:$L$200, 6, 0),0)</f>
        <v>0.17197</v>
      </c>
      <c r="J13" s="8" t="n">
        <f aca="false">IFERROR(VLOOKUP($M13, Delay!$D$2:$L$200, 7, 0),0)*2.262 /SQRT(10)</f>
        <v>0.0642703525246983</v>
      </c>
      <c r="K13" s="8" t="n">
        <f aca="false">IFERROR(VLOOKUP($M13, Delay!$D$2:$L$200, 8, 0),0)</f>
        <v>0.17702</v>
      </c>
      <c r="L13" s="8" t="n">
        <f aca="false">IFERROR(VLOOKUP($M13, Delay!$D$2:$L$200, 9, 0),0)*2.262 /SQRT(10)</f>
        <v>0.0561444626562446</v>
      </c>
      <c r="M13" s="1" t="str">
        <f aca="false">D13&amp;A13&amp;B13</f>
        <v>SDWN MOD25630</v>
      </c>
    </row>
    <row r="14" customFormat="false" ht="12.8" hidden="false" customHeight="false" outlineLevel="0" collapsed="false">
      <c r="A14" s="4" t="n">
        <v>256</v>
      </c>
      <c r="B14" s="4" t="n">
        <v>30</v>
      </c>
      <c r="C14" s="4"/>
      <c r="D14" s="4" t="s">
        <v>15</v>
      </c>
      <c r="E14" s="8" t="n">
        <f aca="false">IFERROR(VLOOKUP($M14, Delay!$D$2:$L$200, 2, 0),0)</f>
        <v>0.17371</v>
      </c>
      <c r="F14" s="8" t="n">
        <f aca="false">IFERROR(VLOOKUP($M14, Delay!$D$2:$L$200, 3, 0),0)*2.262 /SQRT(10)</f>
        <v>0.0457367427983218</v>
      </c>
      <c r="G14" s="8" t="n">
        <f aca="false">IFERROR(VLOOKUP($M14, Delay!$D$2:$L$200, 4, 0),0)</f>
        <v>0.15284</v>
      </c>
      <c r="H14" s="8" t="n">
        <f aca="false">IFERROR(VLOOKUP($M14, Delay!$D$2:$L$200, 5, 0),0)*2.262 /SQRT(10)</f>
        <v>0.0451644970329377</v>
      </c>
      <c r="I14" s="8" t="n">
        <f aca="false">IFERROR(VLOOKUP($M14, Delay!$D$2:$L$200, 6, 0),0)</f>
        <v>0.17572</v>
      </c>
      <c r="J14" s="8" t="n">
        <f aca="false">IFERROR(VLOOKUP($M14, Delay!$D$2:$L$200, 7, 0),0)*2.262 /SQRT(10)</f>
        <v>0.0478468990581755</v>
      </c>
      <c r="K14" s="8" t="n">
        <f aca="false">IFERROR(VLOOKUP($M14, Delay!$D$2:$L$200, 8, 0),0)</f>
        <v>0.18302</v>
      </c>
      <c r="L14" s="8" t="n">
        <f aca="false">IFERROR(VLOOKUP($M14, Delay!$D$2:$L$200, 9, 0),0)*2.262 /SQRT(10)</f>
        <v>0.0657510384426296</v>
      </c>
      <c r="M14" s="1" t="str">
        <f aca="false">D14&amp;A14&amp;B14</f>
        <v>SDWN IA25630</v>
      </c>
    </row>
    <row r="15" customFormat="false" ht="12.8" hidden="false" customHeight="false" outlineLevel="0" collapsed="false">
      <c r="A15" s="4" t="n">
        <v>256</v>
      </c>
      <c r="B15" s="4" t="n">
        <v>40</v>
      </c>
      <c r="C15" s="4" t="s">
        <v>27</v>
      </c>
      <c r="D15" s="4" t="s">
        <v>12</v>
      </c>
      <c r="E15" s="8" t="n">
        <f aca="false">IFERROR(VLOOKUP($M15, Delay!$D$2:$L$200, 2, 0),0)</f>
        <v>0.28039</v>
      </c>
      <c r="F15" s="8" t="n">
        <f aca="false">IFERROR(VLOOKUP($M15, Delay!$D$2:$L$200, 3, 0),0)*2.262 /SQRT(10)</f>
        <v>0.0887767774272711</v>
      </c>
      <c r="G15" s="8" t="n">
        <f aca="false">IFERROR(VLOOKUP($M15, Delay!$D$2:$L$200, 4, 0),0)</f>
        <v>0.20848</v>
      </c>
      <c r="H15" s="8" t="n">
        <f aca="false">IFERROR(VLOOKUP($M15, Delay!$D$2:$L$200, 5, 0),0)*2.262 /SQRT(10)</f>
        <v>0.0785478843710309</v>
      </c>
      <c r="I15" s="8" t="n">
        <f aca="false">IFERROR(VLOOKUP($M15, Delay!$D$2:$L$200, 6, 0),0)</f>
        <v>0.19812</v>
      </c>
      <c r="J15" s="8" t="n">
        <f aca="false">IFERROR(VLOOKUP($M15, Delay!$D$2:$L$200, 7, 0),0)*2.262 /SQRT(10)</f>
        <v>0.0721601910149312</v>
      </c>
      <c r="K15" s="8" t="n">
        <f aca="false">IFERROR(VLOOKUP($M15, Delay!$D$2:$L$200, 8, 0),0)</f>
        <v>0.18802</v>
      </c>
      <c r="L15" s="8" t="n">
        <f aca="false">IFERROR(VLOOKUP($M15, Delay!$D$2:$L$200, 9, 0),0)*2.262 /SQRT(10)</f>
        <v>0.0605650611938365</v>
      </c>
      <c r="M15" s="1" t="str">
        <f aca="false">D15&amp;A15&amp;B15</f>
        <v>NO SDWN25640</v>
      </c>
    </row>
    <row r="16" customFormat="false" ht="12.8" hidden="false" customHeight="false" outlineLevel="0" collapsed="false">
      <c r="A16" s="4" t="n">
        <v>256</v>
      </c>
      <c r="B16" s="4" t="n">
        <v>40</v>
      </c>
      <c r="C16" s="4"/>
      <c r="D16" s="4" t="s">
        <v>13</v>
      </c>
      <c r="E16" s="8" t="n">
        <f aca="false">IFERROR(VLOOKUP($M16, Delay!$D$2:$L$200, 2, 0),0)</f>
        <v>0.20486</v>
      </c>
      <c r="F16" s="8" t="n">
        <f aca="false">IFERROR(VLOOKUP($M16, Delay!$D$2:$L$200, 3, 0),0)*2.262 /SQRT(10)</f>
        <v>0.0566094123406191</v>
      </c>
      <c r="G16" s="8" t="n">
        <f aca="false">IFERROR(VLOOKUP($M16, Delay!$D$2:$L$200, 4, 0),0)</f>
        <v>0.1648</v>
      </c>
      <c r="H16" s="8" t="n">
        <f aca="false">IFERROR(VLOOKUP($M16, Delay!$D$2:$L$200, 5, 0),0)*2.262 /SQRT(10)</f>
        <v>0.0493275849761068</v>
      </c>
      <c r="I16" s="8" t="n">
        <f aca="false">IFERROR(VLOOKUP($M16, Delay!$D$2:$L$200, 6, 0),0)</f>
        <v>0.1895</v>
      </c>
      <c r="J16" s="8" t="n">
        <f aca="false">IFERROR(VLOOKUP($M16, Delay!$D$2:$L$200, 7, 0),0)*2.262 /SQRT(10)</f>
        <v>0.06861226726955</v>
      </c>
      <c r="K16" s="8" t="n">
        <f aca="false">IFERROR(VLOOKUP($M16, Delay!$D$2:$L$200, 8, 0),0)</f>
        <v>0.19884</v>
      </c>
      <c r="L16" s="8" t="n">
        <f aca="false">IFERROR(VLOOKUP($M16, Delay!$D$2:$L$200, 9, 0),0)*2.262 /SQRT(10)</f>
        <v>0.0638554743447949</v>
      </c>
      <c r="M16" s="1" t="str">
        <f aca="false">D16&amp;A16&amp;B16</f>
        <v>SDWN EDCA25640</v>
      </c>
    </row>
    <row r="17" customFormat="false" ht="12.8" hidden="false" customHeight="false" outlineLevel="0" collapsed="false">
      <c r="A17" s="4" t="n">
        <v>256</v>
      </c>
      <c r="B17" s="4" t="n">
        <v>40</v>
      </c>
      <c r="C17" s="4"/>
      <c r="D17" s="4" t="s">
        <v>14</v>
      </c>
      <c r="E17" s="8" t="n">
        <f aca="false">IFERROR(VLOOKUP($M17, Delay!$D$2:$L$200, 2, 0),0)</f>
        <v>0.2603</v>
      </c>
      <c r="F17" s="8" t="n">
        <f aca="false">IFERROR(VLOOKUP($M17, Delay!$D$2:$L$200, 3, 0),0)*2.262 /SQRT(10)</f>
        <v>0.0773533213357917</v>
      </c>
      <c r="G17" s="8" t="n">
        <f aca="false">IFERROR(VLOOKUP($M17, Delay!$D$2:$L$200, 4, 0),0)</f>
        <v>0.1837</v>
      </c>
      <c r="H17" s="8" t="n">
        <f aca="false">IFERROR(VLOOKUP($M17, Delay!$D$2:$L$200, 5, 0),0)*2.262 /SQRT(10)</f>
        <v>0.0621101247603735</v>
      </c>
      <c r="I17" s="8" t="n">
        <f aca="false">IFERROR(VLOOKUP($M17, Delay!$D$2:$L$200, 6, 0),0)</f>
        <v>0.19048</v>
      </c>
      <c r="J17" s="8" t="n">
        <f aca="false">IFERROR(VLOOKUP($M17, Delay!$D$2:$L$200, 7, 0),0)*2.262 /SQRT(10)</f>
        <v>0.0725750691948347</v>
      </c>
      <c r="K17" s="8" t="n">
        <f aca="false">IFERROR(VLOOKUP($M17, Delay!$D$2:$L$200, 8, 0),0)</f>
        <v>0.20553</v>
      </c>
      <c r="L17" s="8" t="n">
        <f aca="false">IFERROR(VLOOKUP($M17, Delay!$D$2:$L$200, 9, 0),0)*2.262 /SQRT(10)</f>
        <v>0.135722389404967</v>
      </c>
      <c r="M17" s="1" t="str">
        <f aca="false">D17&amp;A17&amp;B17</f>
        <v>SDWN MOD25640</v>
      </c>
    </row>
    <row r="18" customFormat="false" ht="12.8" hidden="false" customHeight="false" outlineLevel="0" collapsed="false">
      <c r="A18" s="4" t="n">
        <v>256</v>
      </c>
      <c r="B18" s="4" t="n">
        <v>40</v>
      </c>
      <c r="C18" s="4"/>
      <c r="D18" s="4" t="s">
        <v>15</v>
      </c>
      <c r="E18" s="8" t="n">
        <f aca="false">IFERROR(VLOOKUP($M18, Delay!$D$2:$L$200, 2, 0),0)</f>
        <v>0.20233</v>
      </c>
      <c r="F18" s="8" t="n">
        <f aca="false">IFERROR(VLOOKUP($M18, Delay!$D$2:$L$200, 3, 0),0)*2.262 /SQRT(10)</f>
        <v>0.0628254319671036</v>
      </c>
      <c r="G18" s="8" t="n">
        <f aca="false">IFERROR(VLOOKUP($M18, Delay!$D$2:$L$200, 4, 0),0)</f>
        <v>0.18739</v>
      </c>
      <c r="H18" s="8" t="n">
        <f aca="false">IFERROR(VLOOKUP($M18, Delay!$D$2:$L$200, 5, 0),0)*2.262 /SQRT(10)</f>
        <v>0.0608654902206631</v>
      </c>
      <c r="I18" s="8" t="n">
        <f aca="false">IFERROR(VLOOKUP($M18, Delay!$D$2:$L$200, 6, 0),0)</f>
        <v>0.15362</v>
      </c>
      <c r="J18" s="8" t="n">
        <f aca="false">IFERROR(VLOOKUP($M18, Delay!$D$2:$L$200, 7, 0),0)*2.262 /SQRT(10)</f>
        <v>0.0461587740502925</v>
      </c>
      <c r="K18" s="8" t="n">
        <f aca="false">IFERROR(VLOOKUP($M18, Delay!$D$2:$L$200, 8, 0),0)</f>
        <v>0.19791</v>
      </c>
      <c r="L18" s="8" t="n">
        <f aca="false">IFERROR(VLOOKUP($M18, Delay!$D$2:$L$200, 9, 0),0)*2.262 /SQRT(10)</f>
        <v>0.0731687741764206</v>
      </c>
      <c r="M18" s="1" t="str">
        <f aca="false">D18&amp;A18&amp;B18</f>
        <v>SDWN IA25640</v>
      </c>
    </row>
    <row r="19" customFormat="false" ht="12.8" hidden="false" customHeight="false" outlineLevel="0" collapsed="false">
      <c r="A19" s="4" t="n">
        <v>256</v>
      </c>
      <c r="B19" s="4" t="n">
        <v>50</v>
      </c>
      <c r="C19" s="4" t="s">
        <v>28</v>
      </c>
      <c r="D19" s="4" t="s">
        <v>12</v>
      </c>
      <c r="E19" s="8" t="n">
        <f aca="false">IFERROR(VLOOKUP($M19, Delay!$D$2:$L$200, 2, 0),0)</f>
        <v>0.76274</v>
      </c>
      <c r="F19" s="8" t="n">
        <f aca="false">IFERROR(VLOOKUP($M19, Delay!$D$2:$L$200, 3, 0),0)*2.262 /SQRT(10)</f>
        <v>0.290893981760925</v>
      </c>
      <c r="G19" s="8" t="n">
        <f aca="false">IFERROR(VLOOKUP($M19, Delay!$D$2:$L$200, 4, 0),0)</f>
        <v>0.20378</v>
      </c>
      <c r="H19" s="8" t="n">
        <f aca="false">IFERROR(VLOOKUP($M19, Delay!$D$2:$L$200, 5, 0),0)*2.262 /SQRT(10)</f>
        <v>0.0822317164856909</v>
      </c>
      <c r="I19" s="8" t="n">
        <f aca="false">IFERROR(VLOOKUP($M19, Delay!$D$2:$L$200, 6, 0),0)</f>
        <v>0.20503</v>
      </c>
      <c r="J19" s="8" t="n">
        <f aca="false">IFERROR(VLOOKUP($M19, Delay!$D$2:$L$200, 7, 0),0)*2.262 /SQRT(10)</f>
        <v>0.0782331492000696</v>
      </c>
      <c r="K19" s="8" t="n">
        <f aca="false">IFERROR(VLOOKUP($M19, Delay!$D$2:$L$200, 8, 0),0)</f>
        <v>0.67477</v>
      </c>
      <c r="L19" s="8" t="n">
        <f aca="false">IFERROR(VLOOKUP($M19, Delay!$D$2:$L$200, 9, 0),0)*2.262 /SQRT(10)</f>
        <v>0.250214460914185</v>
      </c>
      <c r="M19" s="1" t="str">
        <f aca="false">D19&amp;A19&amp;B19</f>
        <v>NO SDWN25650</v>
      </c>
    </row>
    <row r="20" customFormat="false" ht="12.8" hidden="false" customHeight="false" outlineLevel="0" collapsed="false">
      <c r="A20" s="4" t="n">
        <v>256</v>
      </c>
      <c r="B20" s="4" t="n">
        <v>50</v>
      </c>
      <c r="C20" s="4"/>
      <c r="D20" s="4" t="s">
        <v>13</v>
      </c>
      <c r="E20" s="8" t="n">
        <f aca="false">IFERROR(VLOOKUP($M20, Delay!$D$2:$L$200, 2, 0),0)</f>
        <v>0.37802</v>
      </c>
      <c r="F20" s="8" t="n">
        <f aca="false">IFERROR(VLOOKUP($M20, Delay!$D$2:$L$200, 3, 0),0)*2.262 /SQRT(10)</f>
        <v>0.10929178811629</v>
      </c>
      <c r="G20" s="8" t="n">
        <f aca="false">IFERROR(VLOOKUP($M20, Delay!$D$2:$L$200, 4, 0),0)</f>
        <v>0.17694</v>
      </c>
      <c r="H20" s="8" t="n">
        <f aca="false">IFERROR(VLOOKUP($M20, Delay!$D$2:$L$200, 5, 0),0)*2.262 /SQRT(10)</f>
        <v>0.0613805114095088</v>
      </c>
      <c r="I20" s="8" t="n">
        <f aca="false">IFERROR(VLOOKUP($M20, Delay!$D$2:$L$200, 6, 0),0)</f>
        <v>0.19548</v>
      </c>
      <c r="J20" s="8" t="n">
        <f aca="false">IFERROR(VLOOKUP($M20, Delay!$D$2:$L$200, 7, 0),0)*2.262 /SQRT(10)</f>
        <v>0.0668955299733978</v>
      </c>
      <c r="K20" s="8" t="n">
        <f aca="false">IFERROR(VLOOKUP($M20, Delay!$D$2:$L$200, 8, 0),0)</f>
        <v>0.92688</v>
      </c>
      <c r="L20" s="8" t="n">
        <f aca="false">IFERROR(VLOOKUP($M20, Delay!$D$2:$L$200, 9, 0),0)*2.262 /SQRT(10)</f>
        <v>0.383147152212904</v>
      </c>
      <c r="M20" s="1" t="str">
        <f aca="false">D20&amp;A20&amp;B20</f>
        <v>SDWN EDCA25650</v>
      </c>
    </row>
    <row r="21" customFormat="false" ht="12.8" hidden="false" customHeight="false" outlineLevel="0" collapsed="false">
      <c r="A21" s="4" t="n">
        <v>256</v>
      </c>
      <c r="B21" s="4" t="n">
        <v>50</v>
      </c>
      <c r="C21" s="4"/>
      <c r="D21" s="4" t="s">
        <v>14</v>
      </c>
      <c r="E21" s="8" t="n">
        <f aca="false">IFERROR(VLOOKUP($M21, Delay!$D$2:$L$200, 2, 0),0)</f>
        <v>0.61098</v>
      </c>
      <c r="F21" s="8" t="n">
        <f aca="false">IFERROR(VLOOKUP($M21, Delay!$D$2:$L$200, 3, 0),0)*2.262 /SQRT(10)</f>
        <v>0.226831068326178</v>
      </c>
      <c r="G21" s="8" t="n">
        <f aca="false">IFERROR(VLOOKUP($M21, Delay!$D$2:$L$200, 4, 0),0)</f>
        <v>0.19845</v>
      </c>
      <c r="H21" s="8" t="n">
        <f aca="false">IFERROR(VLOOKUP($M21, Delay!$D$2:$L$200, 5, 0),0)*2.262 /SQRT(10)</f>
        <v>0.131652291398673</v>
      </c>
      <c r="I21" s="8" t="n">
        <f aca="false">IFERROR(VLOOKUP($M21, Delay!$D$2:$L$200, 6, 0),0)</f>
        <v>0.18126</v>
      </c>
      <c r="J21" s="8" t="n">
        <f aca="false">IFERROR(VLOOKUP($M21, Delay!$D$2:$L$200, 7, 0),0)*2.262 /SQRT(10)</f>
        <v>0.0605221427614327</v>
      </c>
      <c r="K21" s="8" t="n">
        <f aca="false">IFERROR(VLOOKUP($M21, Delay!$D$2:$L$200, 8, 0),0)</f>
        <v>0.85395</v>
      </c>
      <c r="L21" s="8" t="n">
        <f aca="false">IFERROR(VLOOKUP($M21, Delay!$D$2:$L$200, 9, 0),0)*2.262 /SQRT(10)</f>
        <v>0.368919691871043</v>
      </c>
      <c r="M21" s="1" t="str">
        <f aca="false">D21&amp;A21&amp;B21</f>
        <v>SDWN MOD25650</v>
      </c>
    </row>
    <row r="22" customFormat="false" ht="12.8" hidden="false" customHeight="false" outlineLevel="0" collapsed="false">
      <c r="A22" s="4" t="n">
        <v>256</v>
      </c>
      <c r="B22" s="4" t="n">
        <v>50</v>
      </c>
      <c r="C22" s="4"/>
      <c r="D22" s="4" t="s">
        <v>15</v>
      </c>
      <c r="E22" s="8" t="n">
        <f aca="false">IFERROR(VLOOKUP($M22, Delay!$D$2:$L$200, 2, 0),0)</f>
        <v>0.35496</v>
      </c>
      <c r="F22" s="8" t="n">
        <f aca="false">IFERROR(VLOOKUP($M22, Delay!$D$2:$L$200, 3, 0),0)*2.262 /SQRT(10)</f>
        <v>0.102803951751248</v>
      </c>
      <c r="G22" s="8" t="n">
        <f aca="false">IFERROR(VLOOKUP($M22, Delay!$D$2:$L$200, 4, 0),0)</f>
        <v>0.19547</v>
      </c>
      <c r="H22" s="8" t="n">
        <f aca="false">IFERROR(VLOOKUP($M22, Delay!$D$2:$L$200, 5, 0),0)*2.262 /SQRT(10)</f>
        <v>0.0655507524247452</v>
      </c>
      <c r="I22" s="8" t="n">
        <f aca="false">IFERROR(VLOOKUP($M22, Delay!$D$2:$L$200, 6, 0),0)</f>
        <v>0.19956</v>
      </c>
      <c r="J22" s="8" t="n">
        <f aca="false">IFERROR(VLOOKUP($M22, Delay!$D$2:$L$200, 7, 0),0)*2.262 /SQRT(10)</f>
        <v>0.0764305750391098</v>
      </c>
      <c r="K22" s="8" t="n">
        <f aca="false">IFERROR(VLOOKUP($M22, Delay!$D$2:$L$200, 8, 0),0)</f>
        <v>0.89063</v>
      </c>
      <c r="L22" s="8" t="n">
        <f aca="false">IFERROR(VLOOKUP($M22, Delay!$D$2:$L$200, 9, 0),0)*2.262 /SQRT(10)</f>
        <v>0.330192959698676</v>
      </c>
      <c r="M22" s="1" t="str">
        <f aca="false">D22&amp;A22&amp;B22</f>
        <v>SDWN IA25650</v>
      </c>
    </row>
    <row r="23" customFormat="false" ht="12.8" hidden="false" customHeight="false" outlineLevel="0" collapsed="false">
      <c r="A23" s="4" t="n">
        <v>256</v>
      </c>
      <c r="B23" s="4" t="n">
        <v>60</v>
      </c>
      <c r="C23" s="4" t="s">
        <v>29</v>
      </c>
      <c r="D23" s="4" t="s">
        <v>12</v>
      </c>
      <c r="E23" s="8" t="n">
        <f aca="false">IFERROR(VLOOKUP($M23, Delay!$D$2:$L$200, 2, 0),0)</f>
        <v>0.9394</v>
      </c>
      <c r="F23" s="8" t="n">
        <f aca="false">IFERROR(VLOOKUP($M23, Delay!$D$2:$L$200, 3, 0),0)*2.262 /SQRT(10)</f>
        <v>0.241487712992078</v>
      </c>
      <c r="G23" s="8" t="n">
        <f aca="false">IFERROR(VLOOKUP($M23, Delay!$D$2:$L$200, 4, 0),0)</f>
        <v>0.45998</v>
      </c>
      <c r="H23" s="8" t="n">
        <f aca="false">IFERROR(VLOOKUP($M23, Delay!$D$2:$L$200, 5, 0),0)*2.262 /SQRT(10)</f>
        <v>0.289599275716743</v>
      </c>
      <c r="I23" s="8" t="n">
        <f aca="false">IFERROR(VLOOKUP($M23, Delay!$D$2:$L$200, 6, 0),0)</f>
        <v>0.39169</v>
      </c>
      <c r="J23" s="8" t="n">
        <f aca="false">IFERROR(VLOOKUP($M23, Delay!$D$2:$L$200, 7, 0),0)*2.262 /SQRT(10)</f>
        <v>0.237460533418187</v>
      </c>
      <c r="K23" s="8" t="n">
        <f aca="false">IFERROR(VLOOKUP($M23, Delay!$D$2:$L$200, 8, 0),0)</f>
        <v>0.8096</v>
      </c>
      <c r="L23" s="8" t="n">
        <f aca="false">IFERROR(VLOOKUP($M23, Delay!$D$2:$L$200, 9, 0),0)*2.262 /SQRT(10)</f>
        <v>0.217560686926956</v>
      </c>
      <c r="M23" s="1" t="str">
        <f aca="false">D23&amp;A23&amp;B23</f>
        <v>NO SDWN25660</v>
      </c>
    </row>
    <row r="24" customFormat="false" ht="12.8" hidden="false" customHeight="false" outlineLevel="0" collapsed="false">
      <c r="A24" s="4" t="n">
        <v>256</v>
      </c>
      <c r="B24" s="4" t="n">
        <v>60</v>
      </c>
      <c r="C24" s="4"/>
      <c r="D24" s="4" t="s">
        <v>13</v>
      </c>
      <c r="E24" s="8" t="n">
        <f aca="false">IFERROR(VLOOKUP($M24, Delay!$D$2:$L$200, 2, 0),0)</f>
        <v>0.44873</v>
      </c>
      <c r="F24" s="8" t="n">
        <f aca="false">IFERROR(VLOOKUP($M24, Delay!$D$2:$L$200, 3, 0),0)*2.262 /SQRT(10)</f>
        <v>0.093147304460392</v>
      </c>
      <c r="G24" s="8" t="n">
        <f aca="false">IFERROR(VLOOKUP($M24, Delay!$D$2:$L$200, 4, 0),0)</f>
        <v>0.29175</v>
      </c>
      <c r="H24" s="8" t="n">
        <f aca="false">IFERROR(VLOOKUP($M24, Delay!$D$2:$L$200, 5, 0),0)*2.262 /SQRT(10)</f>
        <v>0.119964171640703</v>
      </c>
      <c r="I24" s="8" t="n">
        <f aca="false">IFERROR(VLOOKUP($M24, Delay!$D$2:$L$200, 6, 0),0)</f>
        <v>0.46673</v>
      </c>
      <c r="J24" s="8" t="n">
        <f aca="false">IFERROR(VLOOKUP($M24, Delay!$D$2:$L$200, 7, 0),0)*2.262 /SQRT(10)</f>
        <v>0.32941327484334</v>
      </c>
      <c r="K24" s="8" t="n">
        <f aca="false">IFERROR(VLOOKUP($M24, Delay!$D$2:$L$200, 8, 0),0)</f>
        <v>1.04607</v>
      </c>
      <c r="L24" s="8" t="n">
        <f aca="false">IFERROR(VLOOKUP($M24, Delay!$D$2:$L$200, 9, 0),0)*2.262 /SQRT(10)</f>
        <v>0.301909712744568</v>
      </c>
      <c r="M24" s="1" t="str">
        <f aca="false">D24&amp;A24&amp;B24</f>
        <v>SDWN EDCA25660</v>
      </c>
    </row>
    <row r="25" customFormat="false" ht="12.8" hidden="false" customHeight="false" outlineLevel="0" collapsed="false">
      <c r="A25" s="4" t="n">
        <v>256</v>
      </c>
      <c r="B25" s="4" t="n">
        <v>60</v>
      </c>
      <c r="C25" s="4"/>
      <c r="D25" s="4" t="s">
        <v>14</v>
      </c>
      <c r="E25" s="8" t="n">
        <f aca="false">IFERROR(VLOOKUP($M25, Delay!$D$2:$L$200, 2, 0),0)</f>
        <v>0.72113</v>
      </c>
      <c r="F25" s="8" t="n">
        <f aca="false">IFERROR(VLOOKUP($M25, Delay!$D$2:$L$200, 3, 0),0)*2.262 /SQRT(10)</f>
        <v>0.177997045322715</v>
      </c>
      <c r="G25" s="8" t="n">
        <f aca="false">IFERROR(VLOOKUP($M25, Delay!$D$2:$L$200, 4, 0),0)</f>
        <v>0.35193</v>
      </c>
      <c r="H25" s="8" t="n">
        <f aca="false">IFERROR(VLOOKUP($M25, Delay!$D$2:$L$200, 5, 0),0)*2.262 /SQRT(10)</f>
        <v>0.184155840372661</v>
      </c>
      <c r="I25" s="8" t="n">
        <f aca="false">IFERROR(VLOOKUP($M25, Delay!$D$2:$L$200, 6, 0),0)</f>
        <v>0.39831</v>
      </c>
      <c r="J25" s="8" t="n">
        <f aca="false">IFERROR(VLOOKUP($M25, Delay!$D$2:$L$200, 7, 0),0)*2.262 /SQRT(10)</f>
        <v>0.270715165459069</v>
      </c>
      <c r="K25" s="8" t="n">
        <f aca="false">IFERROR(VLOOKUP($M25, Delay!$D$2:$L$200, 8, 0),0)</f>
        <v>0.94088</v>
      </c>
      <c r="L25" s="8" t="n">
        <f aca="false">IFERROR(VLOOKUP($M25, Delay!$D$2:$L$200, 9, 0),0)*2.262 /SQRT(10)</f>
        <v>0.241051375595972</v>
      </c>
      <c r="M25" s="1" t="str">
        <f aca="false">D25&amp;A25&amp;B25</f>
        <v>SDWN MOD25660</v>
      </c>
    </row>
    <row r="26" customFormat="false" ht="12.8" hidden="false" customHeight="false" outlineLevel="0" collapsed="false">
      <c r="A26" s="4" t="n">
        <v>256</v>
      </c>
      <c r="B26" s="4" t="n">
        <v>60</v>
      </c>
      <c r="C26" s="4"/>
      <c r="D26" s="4" t="s">
        <v>15</v>
      </c>
      <c r="E26" s="8" t="n">
        <f aca="false">IFERROR(VLOOKUP($M26, Delay!$D$2:$L$200, 2, 0),0)</f>
        <v>0.43167</v>
      </c>
      <c r="F26" s="8" t="n">
        <f aca="false">IFERROR(VLOOKUP($M26, Delay!$D$2:$L$200, 3, 0),0)*2.262 /SQRT(10)</f>
        <v>0.0976036683583204</v>
      </c>
      <c r="G26" s="8" t="n">
        <f aca="false">IFERROR(VLOOKUP($M26, Delay!$D$2:$L$200, 4, 0),0)</f>
        <v>0.23752</v>
      </c>
      <c r="H26" s="8" t="n">
        <f aca="false">IFERROR(VLOOKUP($M26, Delay!$D$2:$L$200, 5, 0),0)*2.262 /SQRT(10)</f>
        <v>0.0890128288054921</v>
      </c>
      <c r="I26" s="8" t="n">
        <f aca="false">IFERROR(VLOOKUP($M26, Delay!$D$2:$L$200, 6, 0),0)</f>
        <v>0.54814</v>
      </c>
      <c r="J26" s="8" t="n">
        <f aca="false">IFERROR(VLOOKUP($M26, Delay!$D$2:$L$200, 7, 0),0)*2.262 /SQRT(10)</f>
        <v>0.375486212028825</v>
      </c>
      <c r="K26" s="8" t="n">
        <f aca="false">IFERROR(VLOOKUP($M26, Delay!$D$2:$L$200, 8, 0),0)</f>
        <v>1.00874</v>
      </c>
      <c r="L26" s="8" t="n">
        <f aca="false">IFERROR(VLOOKUP($M26, Delay!$D$2:$L$200, 9, 0),0)*2.262 /SQRT(10)</f>
        <v>0.254813886253459</v>
      </c>
      <c r="M26" s="1" t="str">
        <f aca="false">D26&amp;A26&amp;B26</f>
        <v>SDWN IA25660</v>
      </c>
    </row>
    <row r="27" customFormat="false" ht="12.8" hidden="false" customHeight="false" outlineLevel="0" collapsed="false">
      <c r="A27" s="4" t="n">
        <v>256</v>
      </c>
      <c r="B27" s="4" t="n">
        <v>70</v>
      </c>
      <c r="C27" s="4" t="s">
        <v>30</v>
      </c>
      <c r="D27" s="4" t="s">
        <v>12</v>
      </c>
      <c r="E27" s="8" t="n">
        <f aca="false">IFERROR(VLOOKUP($M27, Delay!$D$2:$L$200, 2, 0),0)</f>
        <v>0.9477</v>
      </c>
      <c r="F27" s="8" t="n">
        <f aca="false">IFERROR(VLOOKUP($M27, Delay!$D$2:$L$200, 3, 0),0)*2.262 /SQRT(10)</f>
        <v>0.264477686616383</v>
      </c>
      <c r="G27" s="8" t="n">
        <f aca="false">IFERROR(VLOOKUP($M27, Delay!$D$2:$L$200, 4, 0),0)</f>
        <v>0.67734</v>
      </c>
      <c r="H27" s="8" t="n">
        <f aca="false">IFERROR(VLOOKUP($M27, Delay!$D$2:$L$200, 5, 0),0)*2.262 /SQRT(10)</f>
        <v>0.322224437415702</v>
      </c>
      <c r="I27" s="8" t="n">
        <f aca="false">IFERROR(VLOOKUP($M27, Delay!$D$2:$L$200, 6, 0),0)</f>
        <v>0.65318</v>
      </c>
      <c r="J27" s="8" t="n">
        <f aca="false">IFERROR(VLOOKUP($M27, Delay!$D$2:$L$200, 7, 0),0)*2.262 /SQRT(10)</f>
        <v>0.258976974196628</v>
      </c>
      <c r="K27" s="8" t="n">
        <f aca="false">IFERROR(VLOOKUP($M27, Delay!$D$2:$L$200, 8, 0),0)</f>
        <v>0.86462</v>
      </c>
      <c r="L27" s="8" t="n">
        <f aca="false">IFERROR(VLOOKUP($M27, Delay!$D$2:$L$200, 9, 0),0)*2.262 /SQRT(10)</f>
        <v>0.236730920067322</v>
      </c>
      <c r="M27" s="1" t="str">
        <f aca="false">D27&amp;A27&amp;B27</f>
        <v>NO SDWN25670</v>
      </c>
    </row>
    <row r="28" customFormat="false" ht="12.8" hidden="false" customHeight="false" outlineLevel="0" collapsed="false">
      <c r="A28" s="4" t="n">
        <v>256</v>
      </c>
      <c r="B28" s="4" t="n">
        <v>70</v>
      </c>
      <c r="C28" s="4"/>
      <c r="D28" s="4" t="s">
        <v>13</v>
      </c>
      <c r="E28" s="8" t="n">
        <f aca="false">IFERROR(VLOOKUP($M28, Delay!$D$2:$L$200, 2, 0),0)</f>
        <v>0.44942</v>
      </c>
      <c r="F28" s="8" t="n">
        <f aca="false">IFERROR(VLOOKUP($M28, Delay!$D$2:$L$200, 3, 0),0)*2.262 /SQRT(10)</f>
        <v>0.0958225534135625</v>
      </c>
      <c r="G28" s="8" t="n">
        <f aca="false">IFERROR(VLOOKUP($M28, Delay!$D$2:$L$200, 4, 0),0)</f>
        <v>0.35627</v>
      </c>
      <c r="H28" s="8" t="n">
        <f aca="false">IFERROR(VLOOKUP($M28, Delay!$D$2:$L$200, 5, 0),0)*2.262 /SQRT(10)</f>
        <v>0.127310376653821</v>
      </c>
      <c r="I28" s="8" t="n">
        <f aca="false">IFERROR(VLOOKUP($M28, Delay!$D$2:$L$200, 6, 0),0)</f>
        <v>0.77522</v>
      </c>
      <c r="J28" s="8" t="n">
        <f aca="false">IFERROR(VLOOKUP($M28, Delay!$D$2:$L$200, 7, 0),0)*2.262 /SQRT(10)</f>
        <v>0.319692249903878</v>
      </c>
      <c r="K28" s="8" t="n">
        <f aca="false">IFERROR(VLOOKUP($M28, Delay!$D$2:$L$200, 8, 0),0)</f>
        <v>1.03802</v>
      </c>
      <c r="L28" s="8" t="n">
        <f aca="false">IFERROR(VLOOKUP($M28, Delay!$D$2:$L$200, 9, 0),0)*2.262 /SQRT(10)</f>
        <v>0.336115703370401</v>
      </c>
      <c r="M28" s="1" t="str">
        <f aca="false">D28&amp;A28&amp;B28</f>
        <v>SDWN EDCA25670</v>
      </c>
    </row>
    <row r="29" customFormat="false" ht="12.8" hidden="false" customHeight="false" outlineLevel="0" collapsed="false">
      <c r="A29" s="4" t="n">
        <v>256</v>
      </c>
      <c r="B29" s="4" t="n">
        <v>70</v>
      </c>
      <c r="C29" s="4"/>
      <c r="D29" s="4" t="s">
        <v>14</v>
      </c>
      <c r="E29" s="8" t="n">
        <f aca="false">IFERROR(VLOOKUP($M29, Delay!$D$2:$L$200, 2, 0),0)</f>
        <v>0.6939</v>
      </c>
      <c r="F29" s="8" t="n">
        <f aca="false">IFERROR(VLOOKUP($M29, Delay!$D$2:$L$200, 3, 0),0)*2.262 /SQRT(10)</f>
        <v>0.177925514602042</v>
      </c>
      <c r="G29" s="8" t="n">
        <f aca="false">IFERROR(VLOOKUP($M29, Delay!$D$2:$L$200, 4, 0),0)</f>
        <v>0.46175</v>
      </c>
      <c r="H29" s="8" t="n">
        <f aca="false">IFERROR(VLOOKUP($M29, Delay!$D$2:$L$200, 5, 0),0)*2.262 /SQRT(10)</f>
        <v>0.196473430472553</v>
      </c>
      <c r="I29" s="8" t="n">
        <f aca="false">IFERROR(VLOOKUP($M29, Delay!$D$2:$L$200, 6, 0),0)</f>
        <v>0.65036</v>
      </c>
      <c r="J29" s="8" t="n">
        <f aca="false">IFERROR(VLOOKUP($M29, Delay!$D$2:$L$200, 7, 0),0)*2.262 /SQRT(10)</f>
        <v>0.262925469977778</v>
      </c>
      <c r="K29" s="8" t="n">
        <f aca="false">IFERROR(VLOOKUP($M29, Delay!$D$2:$L$200, 8, 0),0)</f>
        <v>0.93509</v>
      </c>
      <c r="L29" s="8" t="n">
        <f aca="false">IFERROR(VLOOKUP($M29, Delay!$D$2:$L$200, 9, 0),0)*2.262 /SQRT(10)</f>
        <v>0.260200149520137</v>
      </c>
      <c r="M29" s="1" t="str">
        <f aca="false">D29&amp;A29&amp;B29</f>
        <v>SDWN MOD25670</v>
      </c>
    </row>
    <row r="30" customFormat="false" ht="12.8" hidden="false" customHeight="false" outlineLevel="0" collapsed="false">
      <c r="A30" s="4" t="n">
        <v>256</v>
      </c>
      <c r="B30" s="4" t="n">
        <v>70</v>
      </c>
      <c r="C30" s="4"/>
      <c r="D30" s="4" t="s">
        <v>15</v>
      </c>
      <c r="E30" s="8" t="n">
        <f aca="false">IFERROR(VLOOKUP($M30, Delay!$D$2:$L$200, 2, 0),0)</f>
        <v>0.44499</v>
      </c>
      <c r="F30" s="8" t="n">
        <f aca="false">IFERROR(VLOOKUP($M30, Delay!$D$2:$L$200, 3, 0),0)*2.262 /SQRT(10)</f>
        <v>0.0890700533820305</v>
      </c>
      <c r="G30" s="8" t="n">
        <f aca="false">IFERROR(VLOOKUP($M30, Delay!$D$2:$L$200, 4, 0),0)</f>
        <v>0.31429</v>
      </c>
      <c r="H30" s="8" t="n">
        <f aca="false">IFERROR(VLOOKUP($M30, Delay!$D$2:$L$200, 5, 0),0)*2.262 /SQRT(10)</f>
        <v>0.101323265833317</v>
      </c>
      <c r="I30" s="8" t="n">
        <f aca="false">IFERROR(VLOOKUP($M30, Delay!$D$2:$L$200, 6, 0),0)</f>
        <v>0.66639</v>
      </c>
      <c r="J30" s="8" t="n">
        <f aca="false">IFERROR(VLOOKUP($M30, Delay!$D$2:$L$200, 7, 0),0)*2.262 /SQRT(10)</f>
        <v>0.247846794059908</v>
      </c>
      <c r="K30" s="8" t="n">
        <f aca="false">IFERROR(VLOOKUP($M30, Delay!$D$2:$L$200, 8, 0),0)</f>
        <v>0.99875</v>
      </c>
      <c r="L30" s="8" t="n">
        <f aca="false">IFERROR(VLOOKUP($M30, Delay!$D$2:$L$200, 9, 0),0)*2.262 /SQRT(10)</f>
        <v>0.25027883856279</v>
      </c>
      <c r="M30" s="1" t="str">
        <f aca="false">D30&amp;A30&amp;B30</f>
        <v>SDWN IA25670</v>
      </c>
    </row>
    <row r="31" customFormat="false" ht="12.8" hidden="false" customHeight="false" outlineLevel="0" collapsed="false">
      <c r="A31" s="4" t="n">
        <v>256</v>
      </c>
      <c r="B31" s="4" t="n">
        <v>80</v>
      </c>
      <c r="C31" s="4" t="s">
        <v>31</v>
      </c>
      <c r="D31" s="4" t="s">
        <v>12</v>
      </c>
      <c r="E31" s="8" t="n">
        <f aca="false">IFERROR(VLOOKUP($M31, Delay!$D$2:$L$200, 2, 0),0)</f>
        <v>1.03022</v>
      </c>
      <c r="F31" s="8" t="n">
        <f aca="false">IFERROR(VLOOKUP($M31, Delay!$D$2:$L$200, 3, 0),0)*2.262 /SQRT(10)</f>
        <v>0.277560655427476</v>
      </c>
      <c r="G31" s="8" t="n">
        <f aca="false">IFERROR(VLOOKUP($M31, Delay!$D$2:$L$200, 4, 0),0)</f>
        <v>0.85127</v>
      </c>
      <c r="H31" s="8" t="n">
        <f aca="false">IFERROR(VLOOKUP($M31, Delay!$D$2:$L$200, 5, 0),0)*2.262 /SQRT(10)</f>
        <v>0.241230202397655</v>
      </c>
      <c r="I31" s="8" t="n">
        <f aca="false">IFERROR(VLOOKUP($M31, Delay!$D$2:$L$200, 6, 0),0)</f>
        <v>0.84142</v>
      </c>
      <c r="J31" s="8" t="n">
        <f aca="false">IFERROR(VLOOKUP($M31, Delay!$D$2:$L$200, 7, 0),0)*2.262 /SQRT(10)</f>
        <v>0.255214458289228</v>
      </c>
      <c r="K31" s="8" t="n">
        <f aca="false">IFERROR(VLOOKUP($M31, Delay!$D$2:$L$200, 8, 0),0)</f>
        <v>0.88014</v>
      </c>
      <c r="L31" s="8" t="n">
        <f aca="false">IFERROR(VLOOKUP($M31, Delay!$D$2:$L$200, 9, 0),0)*2.262 /SQRT(10)</f>
        <v>0.243090001135153</v>
      </c>
      <c r="M31" s="1" t="str">
        <f aca="false">D31&amp;A31&amp;B31</f>
        <v>NO SDWN25680</v>
      </c>
    </row>
    <row r="32" customFormat="false" ht="12.8" hidden="false" customHeight="false" outlineLevel="0" collapsed="false">
      <c r="A32" s="4" t="n">
        <v>256</v>
      </c>
      <c r="B32" s="4" t="n">
        <v>80</v>
      </c>
      <c r="C32" s="4"/>
      <c r="D32" s="4" t="s">
        <v>13</v>
      </c>
      <c r="E32" s="8" t="n">
        <f aca="false">IFERROR(VLOOKUP($M32, Delay!$D$2:$L$200, 2, 0),0)</f>
        <v>0.47528</v>
      </c>
      <c r="F32" s="8" t="n">
        <f aca="false">IFERROR(VLOOKUP($M32, Delay!$D$2:$L$200, 3, 0),0)*2.262 /SQRT(10)</f>
        <v>0.0991558849969247</v>
      </c>
      <c r="G32" s="8" t="n">
        <f aca="false">IFERROR(VLOOKUP($M32, Delay!$D$2:$L$200, 4, 0),0)</f>
        <v>0.44966</v>
      </c>
      <c r="H32" s="8" t="n">
        <f aca="false">IFERROR(VLOOKUP($M32, Delay!$D$2:$L$200, 5, 0),0)*2.262 /SQRT(10)</f>
        <v>0.102982778552931</v>
      </c>
      <c r="I32" s="8" t="n">
        <f aca="false">IFERROR(VLOOKUP($M32, Delay!$D$2:$L$200, 6, 0),0)</f>
        <v>0.9818</v>
      </c>
      <c r="J32" s="8" t="n">
        <f aca="false">IFERROR(VLOOKUP($M32, Delay!$D$2:$L$200, 7, 0),0)*2.262 /SQRT(10)</f>
        <v>0.314856773186383</v>
      </c>
      <c r="K32" s="8" t="n">
        <f aca="false">IFERROR(VLOOKUP($M32, Delay!$D$2:$L$200, 8, 0),0)</f>
        <v>1.00533</v>
      </c>
      <c r="L32" s="8" t="n">
        <f aca="false">IFERROR(VLOOKUP($M32, Delay!$D$2:$L$200, 9, 0),0)*2.262 /SQRT(10)</f>
        <v>0.261666529293933</v>
      </c>
      <c r="M32" s="1" t="str">
        <f aca="false">D32&amp;A32&amp;B32</f>
        <v>SDWN EDCA25680</v>
      </c>
    </row>
    <row r="33" customFormat="false" ht="12.8" hidden="false" customHeight="false" outlineLevel="0" collapsed="false">
      <c r="A33" s="4" t="n">
        <v>256</v>
      </c>
      <c r="B33" s="4" t="n">
        <v>80</v>
      </c>
      <c r="C33" s="4"/>
      <c r="D33" s="4" t="s">
        <v>14</v>
      </c>
      <c r="E33" s="8" t="n">
        <f aca="false">IFERROR(VLOOKUP($M33, Delay!$D$2:$L$200, 2, 0),0)</f>
        <v>0.71993</v>
      </c>
      <c r="F33" s="8" t="n">
        <f aca="false">IFERROR(VLOOKUP($M33, Delay!$D$2:$L$200, 3, 0),0)*2.262 /SQRT(10)</f>
        <v>0.160808213144991</v>
      </c>
      <c r="G33" s="8" t="n">
        <f aca="false">IFERROR(VLOOKUP($M33, Delay!$D$2:$L$200, 4, 0),0)</f>
        <v>0.58794</v>
      </c>
      <c r="H33" s="8" t="n">
        <f aca="false">IFERROR(VLOOKUP($M33, Delay!$D$2:$L$200, 5, 0),0)*2.262 /SQRT(10)</f>
        <v>0.170772442534741</v>
      </c>
      <c r="I33" s="8" t="n">
        <f aca="false">IFERROR(VLOOKUP($M33, Delay!$D$2:$L$200, 6, 0),0)</f>
        <v>0.81373</v>
      </c>
      <c r="J33" s="8" t="n">
        <f aca="false">IFERROR(VLOOKUP($M33, Delay!$D$2:$L$200, 7, 0),0)*2.262 /SQRT(10)</f>
        <v>0.23618013351814</v>
      </c>
      <c r="K33" s="8" t="n">
        <f aca="false">IFERROR(VLOOKUP($M33, Delay!$D$2:$L$200, 8, 0),0)</f>
        <v>0.92765</v>
      </c>
      <c r="L33" s="8" t="n">
        <f aca="false">IFERROR(VLOOKUP($M33, Delay!$D$2:$L$200, 9, 0),0)*2.262 /SQRT(10)</f>
        <v>0.262925469977778</v>
      </c>
      <c r="M33" s="1" t="str">
        <f aca="false">D33&amp;A33&amp;B33</f>
        <v>SDWN MOD25680</v>
      </c>
    </row>
    <row r="34" customFormat="false" ht="12.8" hidden="false" customHeight="false" outlineLevel="0" collapsed="false">
      <c r="A34" s="4" t="n">
        <v>256</v>
      </c>
      <c r="B34" s="4" t="n">
        <v>80</v>
      </c>
      <c r="C34" s="4"/>
      <c r="D34" s="4" t="s">
        <v>15</v>
      </c>
      <c r="E34" s="8" t="n">
        <f aca="false">IFERROR(VLOOKUP($M34, Delay!$D$2:$L$200, 2, 0),0)</f>
        <v>0.48721</v>
      </c>
      <c r="F34" s="8" t="n">
        <f aca="false">IFERROR(VLOOKUP($M34, Delay!$D$2:$L$200, 3, 0),0)*2.262 /SQRT(10)</f>
        <v>0.121037132450798</v>
      </c>
      <c r="G34" s="8" t="n">
        <f aca="false">IFERROR(VLOOKUP($M34, Delay!$D$2:$L$200, 4, 0),0)</f>
        <v>0.37737</v>
      </c>
      <c r="H34" s="8" t="n">
        <f aca="false">IFERROR(VLOOKUP($M34, Delay!$D$2:$L$200, 5, 0),0)*2.262 /SQRT(10)</f>
        <v>0.06977821801652</v>
      </c>
      <c r="I34" s="8" t="n">
        <f aca="false">IFERROR(VLOOKUP($M34, Delay!$D$2:$L$200, 6, 0),0)</f>
        <v>0.77154</v>
      </c>
      <c r="J34" s="8" t="n">
        <f aca="false">IFERROR(VLOOKUP($M34, Delay!$D$2:$L$200, 7, 0),0)*2.262 /SQRT(10)</f>
        <v>0.204549248836536</v>
      </c>
      <c r="K34" s="8" t="n">
        <f aca="false">IFERROR(VLOOKUP($M34, Delay!$D$2:$L$200, 8, 0),0)</f>
        <v>1.0441</v>
      </c>
      <c r="L34" s="8" t="n">
        <f aca="false">IFERROR(VLOOKUP($M34, Delay!$D$2:$L$200, 9, 0),0)*2.262 /SQRT(10)</f>
        <v>0.302131457978654</v>
      </c>
      <c r="M34" s="1" t="str">
        <f aca="false">D34&amp;A34&amp;B34</f>
        <v>SDWN IA25680</v>
      </c>
    </row>
    <row r="35" customFormat="false" ht="12.8" hidden="false" customHeight="false" outlineLevel="0" collapsed="false">
      <c r="A35" s="4" t="n">
        <v>256</v>
      </c>
      <c r="B35" s="4" t="n">
        <v>90</v>
      </c>
      <c r="C35" s="4" t="s">
        <v>32</v>
      </c>
      <c r="D35" s="4" t="s">
        <v>12</v>
      </c>
      <c r="E35" s="8" t="n">
        <f aca="false">IFERROR(VLOOKUP($M35, Delay!$D$2:$L$200, 2, 0),0)</f>
        <v>1.3124</v>
      </c>
      <c r="F35" s="8" t="n">
        <f aca="false">IFERROR(VLOOKUP($M35, Delay!$D$2:$L$200, 3, 0),0)*2.262 /SQRT(10)</f>
        <v>0.420700780566234</v>
      </c>
      <c r="G35" s="8" t="n">
        <f aca="false">IFERROR(VLOOKUP($M35, Delay!$D$2:$L$200, 4, 0),0)</f>
        <v>1.09418</v>
      </c>
      <c r="H35" s="8" t="n">
        <f aca="false">IFERROR(VLOOKUP($M35, Delay!$D$2:$L$200, 5, 0),0)*2.262 /SQRT(10)</f>
        <v>0.347660761687024</v>
      </c>
      <c r="I35" s="8" t="n">
        <f aca="false">IFERROR(VLOOKUP($M35, Delay!$D$2:$L$200, 6, 0),0)</f>
        <v>0.97032</v>
      </c>
      <c r="J35" s="8" t="n">
        <f aca="false">IFERROR(VLOOKUP($M35, Delay!$D$2:$L$200, 7, 0),0)*2.262 /SQRT(10)</f>
        <v>0.318211563985947</v>
      </c>
      <c r="K35" s="8" t="n">
        <f aca="false">IFERROR(VLOOKUP($M35, Delay!$D$2:$L$200, 8, 0),0)</f>
        <v>1.16632</v>
      </c>
      <c r="L35" s="8" t="n">
        <f aca="false">IFERROR(VLOOKUP($M35, Delay!$D$2:$L$200, 9, 0),0)*2.262 /SQRT(10)</f>
        <v>0.388604946200255</v>
      </c>
      <c r="M35" s="1" t="str">
        <f aca="false">D35&amp;A35&amp;B35</f>
        <v>NO SDWN25690</v>
      </c>
    </row>
    <row r="36" customFormat="false" ht="12.8" hidden="false" customHeight="false" outlineLevel="0" collapsed="false">
      <c r="A36" s="4" t="n">
        <v>256</v>
      </c>
      <c r="B36" s="4" t="n">
        <v>90</v>
      </c>
      <c r="C36" s="4"/>
      <c r="D36" s="4" t="s">
        <v>13</v>
      </c>
      <c r="E36" s="8" t="n">
        <f aca="false">IFERROR(VLOOKUP($M36, Delay!$D$2:$L$200, 2, 0),0)</f>
        <v>0.56485</v>
      </c>
      <c r="F36" s="8" t="n">
        <f aca="false">IFERROR(VLOOKUP($M36, Delay!$D$2:$L$200, 3, 0),0)*2.262 /SQRT(10)</f>
        <v>0.166122945690996</v>
      </c>
      <c r="G36" s="8" t="n">
        <f aca="false">IFERROR(VLOOKUP($M36, Delay!$D$2:$L$200, 4, 0),0)</f>
        <v>0.58336</v>
      </c>
      <c r="H36" s="8" t="n">
        <f aca="false">IFERROR(VLOOKUP($M36, Delay!$D$2:$L$200, 5, 0),0)*2.262 /SQRT(10)</f>
        <v>0.207331793870716</v>
      </c>
      <c r="I36" s="8" t="n">
        <f aca="false">IFERROR(VLOOKUP($M36, Delay!$D$2:$L$200, 6, 0),0)</f>
        <v>1.02392</v>
      </c>
      <c r="J36" s="8" t="n">
        <f aca="false">IFERROR(VLOOKUP($M36, Delay!$D$2:$L$200, 7, 0),0)*2.262 /SQRT(10)</f>
        <v>0.312038462791866</v>
      </c>
      <c r="K36" s="8" t="n">
        <f aca="false">IFERROR(VLOOKUP($M36, Delay!$D$2:$L$200, 8, 0),0)</f>
        <v>1.19899</v>
      </c>
      <c r="L36" s="8" t="n">
        <f aca="false">IFERROR(VLOOKUP($M36, Delay!$D$2:$L$200, 9, 0),0)*2.262 /SQRT(10)</f>
        <v>0.343969776500297</v>
      </c>
      <c r="M36" s="1" t="str">
        <f aca="false">D36&amp;A36&amp;B36</f>
        <v>SDWN EDCA25690</v>
      </c>
    </row>
    <row r="37" customFormat="false" ht="12.8" hidden="false" customHeight="false" outlineLevel="0" collapsed="false">
      <c r="A37" s="4" t="n">
        <v>256</v>
      </c>
      <c r="B37" s="4" t="n">
        <v>90</v>
      </c>
      <c r="C37" s="4"/>
      <c r="D37" s="4" t="s">
        <v>14</v>
      </c>
      <c r="E37" s="8" t="n">
        <f aca="false">IFERROR(VLOOKUP($M37, Delay!$D$2:$L$200, 2, 0),0)</f>
        <v>0.88248</v>
      </c>
      <c r="F37" s="8" t="n">
        <f aca="false">IFERROR(VLOOKUP($M37, Delay!$D$2:$L$200, 3, 0),0)*2.262 /SQRT(10)</f>
        <v>0.270822461540078</v>
      </c>
      <c r="G37" s="8" t="n">
        <f aca="false">IFERROR(VLOOKUP($M37, Delay!$D$2:$L$200, 4, 0),0)</f>
        <v>0.71027</v>
      </c>
      <c r="H37" s="8" t="n">
        <f aca="false">IFERROR(VLOOKUP($M37, Delay!$D$2:$L$200, 5, 0),0)*2.262 /SQRT(10)</f>
        <v>0.212882577794941</v>
      </c>
      <c r="I37" s="8" t="n">
        <f aca="false">IFERROR(VLOOKUP($M37, Delay!$D$2:$L$200, 6, 0),0)</f>
        <v>0.86981</v>
      </c>
      <c r="J37" s="8" t="n">
        <f aca="false">IFERROR(VLOOKUP($M37, Delay!$D$2:$L$200, 7, 0),0)*2.262 /SQRT(10)</f>
        <v>0.24095123258703</v>
      </c>
      <c r="K37" s="8" t="n">
        <f aca="false">IFERROR(VLOOKUP($M37, Delay!$D$2:$L$200, 8, 0),0)</f>
        <v>1.09594</v>
      </c>
      <c r="L37" s="8" t="n">
        <f aca="false">IFERROR(VLOOKUP($M37, Delay!$D$2:$L$200, 9, 0),0)*2.262 /SQRT(10)</f>
        <v>0.300729455853463</v>
      </c>
      <c r="M37" s="1" t="str">
        <f aca="false">D37&amp;A37&amp;B37</f>
        <v>SDWN MOD25690</v>
      </c>
    </row>
    <row r="38" customFormat="false" ht="12.8" hidden="false" customHeight="false" outlineLevel="0" collapsed="false">
      <c r="A38" s="4" t="n">
        <v>256</v>
      </c>
      <c r="B38" s="4" t="n">
        <v>90</v>
      </c>
      <c r="C38" s="4"/>
      <c r="D38" s="4" t="s">
        <v>15</v>
      </c>
      <c r="E38" s="8" t="n">
        <f aca="false">IFERROR(VLOOKUP($M38, Delay!$D$2:$L$200, 2, 0),0)</f>
        <v>0.57753</v>
      </c>
      <c r="F38" s="8" t="n">
        <f aca="false">IFERROR(VLOOKUP($M38, Delay!$D$2:$L$200, 3, 0),0)*2.262 /SQRT(10)</f>
        <v>0.201544958568269</v>
      </c>
      <c r="G38" s="8" t="n">
        <f aca="false">IFERROR(VLOOKUP($M38, Delay!$D$2:$L$200, 4, 0),0)</f>
        <v>0.52371</v>
      </c>
      <c r="H38" s="8" t="n">
        <f aca="false">IFERROR(VLOOKUP($M38, Delay!$D$2:$L$200, 5, 0),0)*2.262 /SQRT(10)</f>
        <v>0.159906926064511</v>
      </c>
      <c r="I38" s="8" t="n">
        <f aca="false">IFERROR(VLOOKUP($M38, Delay!$D$2:$L$200, 6, 0),0)</f>
        <v>1.02392</v>
      </c>
      <c r="J38" s="8" t="n">
        <f aca="false">IFERROR(VLOOKUP($M38, Delay!$D$2:$L$200, 7, 0),0)*2.262 /SQRT(10)</f>
        <v>0.312038462791866</v>
      </c>
      <c r="K38" s="8" t="n">
        <f aca="false">IFERROR(VLOOKUP($M38, Delay!$D$2:$L$200, 8, 0),0)</f>
        <v>1.15178</v>
      </c>
      <c r="L38" s="8" t="n">
        <f aca="false">IFERROR(VLOOKUP($M38, Delay!$D$2:$L$200, 9, 0),0)*2.262 /SQRT(10)</f>
        <v>0.319563494606667</v>
      </c>
      <c r="M38" s="1" t="str">
        <f aca="false">D38&amp;A38&amp;B38</f>
        <v>SDWN IA25690</v>
      </c>
    </row>
    <row r="39" customFormat="false" ht="12.8" hidden="false" customHeight="false" outlineLevel="0" collapsed="false">
      <c r="A39" s="4" t="n">
        <v>256</v>
      </c>
      <c r="B39" s="4" t="n">
        <v>100</v>
      </c>
      <c r="C39" s="4" t="s">
        <v>33</v>
      </c>
      <c r="D39" s="4" t="s">
        <v>12</v>
      </c>
      <c r="E39" s="8" t="n">
        <f aca="false">IFERROR(VLOOKUP($M39, Delay!$D$2:$L$200, 2, 0),0)</f>
        <v>1.60007</v>
      </c>
      <c r="F39" s="8" t="n">
        <f aca="false">IFERROR(VLOOKUP($M39, Delay!$D$2:$L$200, 3, 0),0)*2.262 /SQRT(10)</f>
        <v>0.462345966142059</v>
      </c>
      <c r="G39" s="8" t="n">
        <f aca="false">IFERROR(VLOOKUP($M39, Delay!$D$2:$L$200, 4, 0),0)</f>
        <v>1.18289</v>
      </c>
      <c r="H39" s="8" t="n">
        <f aca="false">IFERROR(VLOOKUP($M39, Delay!$D$2:$L$200, 5, 0),0)*2.262 /SQRT(10)</f>
        <v>0.376923979514352</v>
      </c>
      <c r="I39" s="8" t="n">
        <f aca="false">IFERROR(VLOOKUP($M39, Delay!$D$2:$L$200, 6, 0),0)</f>
        <v>1.16571</v>
      </c>
      <c r="J39" s="8" t="n">
        <f aca="false">IFERROR(VLOOKUP($M39, Delay!$D$2:$L$200, 7, 0),0)*2.262 /SQRT(10)</f>
        <v>0.387853873633188</v>
      </c>
      <c r="K39" s="8" t="n">
        <f aca="false">IFERROR(VLOOKUP($M39, Delay!$D$2:$L$200, 8, 0),0)</f>
        <v>1.38556</v>
      </c>
      <c r="L39" s="8" t="n">
        <f aca="false">IFERROR(VLOOKUP($M39, Delay!$D$2:$L$200, 9, 0),0)*2.262 /SQRT(10)</f>
        <v>0.382954019267087</v>
      </c>
      <c r="M39" s="1" t="str">
        <f aca="false">D39&amp;A39&amp;B39</f>
        <v>NO SDWN256100</v>
      </c>
    </row>
    <row r="40" customFormat="false" ht="12.8" hidden="false" customHeight="false" outlineLevel="0" collapsed="false">
      <c r="A40" s="4" t="n">
        <v>256</v>
      </c>
      <c r="B40" s="4" t="n">
        <v>100</v>
      </c>
      <c r="C40" s="4"/>
      <c r="D40" s="4" t="s">
        <v>13</v>
      </c>
      <c r="E40" s="8" t="n">
        <f aca="false">IFERROR(VLOOKUP($M40, Delay!$D$2:$L$200, 2, 0),0)</f>
        <v>0.64827</v>
      </c>
      <c r="F40" s="8" t="n">
        <f aca="false">IFERROR(VLOOKUP($M40, Delay!$D$2:$L$200, 3, 0),0)*2.262 /SQRT(10)</f>
        <v>0.216802461287822</v>
      </c>
      <c r="G40" s="8" t="n">
        <f aca="false">IFERROR(VLOOKUP($M40, Delay!$D$2:$L$200, 4, 0),0)</f>
        <v>0.66649</v>
      </c>
      <c r="H40" s="8" t="n">
        <f aca="false">IFERROR(VLOOKUP($M40, Delay!$D$2:$L$200, 5, 0),0)*2.262 /SQRT(10)</f>
        <v>0.239155811498137</v>
      </c>
      <c r="I40" s="8" t="n">
        <f aca="false">IFERROR(VLOOKUP($M40, Delay!$D$2:$L$200, 6, 0),0)</f>
        <v>1.08346</v>
      </c>
      <c r="J40" s="8" t="n">
        <f aca="false">IFERROR(VLOOKUP($M40, Delay!$D$2:$L$200, 7, 0),0)*2.262 /SQRT(10)</f>
        <v>0.316516285905996</v>
      </c>
      <c r="K40" s="8" t="n">
        <f aca="false">IFERROR(VLOOKUP($M40, Delay!$D$2:$L$200, 8, 0),0)</f>
        <v>1.38203</v>
      </c>
      <c r="L40" s="8" t="n">
        <f aca="false">IFERROR(VLOOKUP($M40, Delay!$D$2:$L$200, 9, 0),0)*2.262 /SQRT(10)</f>
        <v>0.349778071018945</v>
      </c>
      <c r="M40" s="1" t="str">
        <f aca="false">D40&amp;A40&amp;B40</f>
        <v>SDWN EDCA256100</v>
      </c>
    </row>
    <row r="41" customFormat="false" ht="12.8" hidden="false" customHeight="false" outlineLevel="0" collapsed="false">
      <c r="A41" s="4" t="n">
        <v>256</v>
      </c>
      <c r="B41" s="4" t="n">
        <v>100</v>
      </c>
      <c r="C41" s="4"/>
      <c r="D41" s="4" t="s">
        <v>14</v>
      </c>
      <c r="E41" s="8" t="n">
        <f aca="false">IFERROR(VLOOKUP($M41, Delay!$D$2:$L$200, 2, 0),0)</f>
        <v>1.00335</v>
      </c>
      <c r="F41" s="8" t="n">
        <f aca="false">IFERROR(VLOOKUP($M41, Delay!$D$2:$L$200, 3, 0),0)*2.262 /SQRT(10)</f>
        <v>0.287861079204389</v>
      </c>
      <c r="G41" s="8" t="n">
        <f aca="false">IFERROR(VLOOKUP($M41, Delay!$D$2:$L$200, 4, 0),0)</f>
        <v>0.78004</v>
      </c>
      <c r="H41" s="8" t="n">
        <f aca="false">IFERROR(VLOOKUP($M41, Delay!$D$2:$L$200, 5, 0),0)*2.262 /SQRT(10)</f>
        <v>0.251616463039376</v>
      </c>
      <c r="I41" s="8" t="n">
        <f aca="false">IFERROR(VLOOKUP($M41, Delay!$D$2:$L$200, 6, 0),0)</f>
        <v>0.91596</v>
      </c>
      <c r="J41" s="8" t="n">
        <f aca="false">IFERROR(VLOOKUP($M41, Delay!$D$2:$L$200, 7, 0),0)*2.262 /SQRT(10)</f>
        <v>0.240936926442895</v>
      </c>
      <c r="K41" s="8" t="n">
        <f aca="false">IFERROR(VLOOKUP($M41, Delay!$D$2:$L$200, 8, 0),0)</f>
        <v>1.22916</v>
      </c>
      <c r="L41" s="8" t="n">
        <f aca="false">IFERROR(VLOOKUP($M41, Delay!$D$2:$L$200, 9, 0),0)*2.262 /SQRT(10)</f>
        <v>0.307732313407351</v>
      </c>
      <c r="M41" s="1" t="str">
        <f aca="false">D41&amp;A41&amp;B41</f>
        <v>SDWN MOD256100</v>
      </c>
    </row>
    <row r="42" customFormat="false" ht="12.8" hidden="false" customHeight="false" outlineLevel="0" collapsed="false">
      <c r="A42" s="4" t="n">
        <v>256</v>
      </c>
      <c r="B42" s="4" t="n">
        <v>100</v>
      </c>
      <c r="C42" s="4"/>
      <c r="D42" s="4" t="s">
        <v>15</v>
      </c>
      <c r="E42" s="8" t="n">
        <f aca="false">IFERROR(VLOOKUP($M42, Delay!$D$2:$L$200, 2, 0),0)</f>
        <v>0.71763</v>
      </c>
      <c r="F42" s="8" t="n">
        <f aca="false">IFERROR(VLOOKUP($M42, Delay!$D$2:$L$200, 3, 0),0)*2.262 /SQRT(10)</f>
        <v>0.240801018073617</v>
      </c>
      <c r="G42" s="8" t="n">
        <f aca="false">IFERROR(VLOOKUP($M42, Delay!$D$2:$L$200, 4, 0),0)</f>
        <v>0.44951</v>
      </c>
      <c r="H42" s="8" t="n">
        <f aca="false">IFERROR(VLOOKUP($M42, Delay!$D$2:$L$200, 5, 0),0)*2.262 /SQRT(10)</f>
        <v>0.117689494723301</v>
      </c>
      <c r="I42" s="8" t="n">
        <f aca="false">IFERROR(VLOOKUP($M42, Delay!$D$2:$L$200, 6, 0),0)</f>
        <v>1.08346</v>
      </c>
      <c r="J42" s="8" t="n">
        <f aca="false">IFERROR(VLOOKUP($M42, Delay!$D$2:$L$200, 7, 0),0)*2.262 /SQRT(10)</f>
        <v>0.316516285905996</v>
      </c>
      <c r="K42" s="8" t="n">
        <f aca="false">IFERROR(VLOOKUP($M42, Delay!$D$2:$L$200, 8, 0),0)</f>
        <v>1.23303</v>
      </c>
      <c r="L42" s="8" t="n">
        <f aca="false">IFERROR(VLOOKUP($M42, Delay!$D$2:$L$200, 9, 0),0)*2.262 /SQRT(10)</f>
        <v>0.29565077468568</v>
      </c>
      <c r="M42" s="1" t="str">
        <f aca="false">D42&amp;A42&amp;B42</f>
        <v>SDWN IA256100</v>
      </c>
    </row>
  </sheetData>
  <mergeCells count="7">
    <mergeCell ref="A1:A2"/>
    <mergeCell ref="B1:B2"/>
    <mergeCell ref="D1:D2"/>
    <mergeCell ref="E1:F1"/>
    <mergeCell ref="G1:H1"/>
    <mergeCell ref="I1:J1"/>
    <mergeCell ref="K1:L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M42" activeCellId="0" sqref="M42"/>
    </sheetView>
  </sheetViews>
  <sheetFormatPr defaultColWidth="11.53515625" defaultRowHeight="12.8" zeroHeight="false" outlineLevelRow="0" outlineLevelCol="0"/>
  <cols>
    <col collapsed="false" customWidth="true" hidden="false" outlineLevel="0" max="13" min="13" style="1" width="21"/>
  </cols>
  <sheetData>
    <row r="1" customFormat="false" ht="13.8" hidden="false" customHeight="false" outlineLevel="0" collapsed="false">
      <c r="A1" s="9" t="s">
        <v>1</v>
      </c>
      <c r="B1" s="9" t="s">
        <v>16</v>
      </c>
      <c r="C1" s="10"/>
      <c r="D1" s="9" t="s">
        <v>17</v>
      </c>
      <c r="E1" s="11" t="s">
        <v>18</v>
      </c>
      <c r="F1" s="11"/>
      <c r="G1" s="11" t="s">
        <v>19</v>
      </c>
      <c r="H1" s="11"/>
      <c r="I1" s="11" t="s">
        <v>20</v>
      </c>
      <c r="J1" s="11"/>
      <c r="K1" s="11" t="s">
        <v>21</v>
      </c>
      <c r="L1" s="11"/>
      <c r="M1" s="12"/>
    </row>
    <row r="2" customFormat="false" ht="13.8" hidden="false" customHeight="false" outlineLevel="0" collapsed="false">
      <c r="A2" s="9"/>
      <c r="B2" s="9"/>
      <c r="C2" s="13"/>
      <c r="D2" s="9"/>
      <c r="E2" s="14" t="s">
        <v>22</v>
      </c>
      <c r="F2" s="14" t="s">
        <v>23</v>
      </c>
      <c r="G2" s="14" t="s">
        <v>22</v>
      </c>
      <c r="H2" s="14" t="s">
        <v>23</v>
      </c>
      <c r="I2" s="14" t="s">
        <v>22</v>
      </c>
      <c r="J2" s="14" t="s">
        <v>23</v>
      </c>
      <c r="K2" s="14" t="s">
        <v>22</v>
      </c>
      <c r="L2" s="14" t="s">
        <v>23</v>
      </c>
      <c r="M2" s="12" t="s">
        <v>3</v>
      </c>
    </row>
    <row r="3" s="18" customFormat="true" ht="12.8" hidden="false" customHeight="false" outlineLevel="0" collapsed="false">
      <c r="A3" s="15" t="n">
        <v>256</v>
      </c>
      <c r="B3" s="15" t="n">
        <v>10</v>
      </c>
      <c r="C3" s="15" t="s">
        <v>24</v>
      </c>
      <c r="D3" s="15" t="s">
        <v>12</v>
      </c>
      <c r="E3" s="16" t="n">
        <f aca="false">IFERROR(VLOOKUP($M3, LostPackets!$D$2:$L$200, 2, 0),0)</f>
        <v>0.01111</v>
      </c>
      <c r="F3" s="16" t="n">
        <f aca="false">IFERROR(VLOOKUP($M3, LostPackets!$D$2:$L$200, 3, 0),0)*2.262 /SQRT(10)</f>
        <v>0.0297353205837697</v>
      </c>
      <c r="G3" s="16" t="n">
        <f aca="false">IFERROR(VLOOKUP($M3, LostPackets!$D$2:$L$200, 4, 0),0)</f>
        <v>0.00556</v>
      </c>
      <c r="H3" s="16" t="n">
        <f aca="false">IFERROR(VLOOKUP($M3, LostPackets!$D$2:$L$200, 5, 0),0)*2.262 /SQRT(10)</f>
        <v>0.0214019916253642</v>
      </c>
      <c r="I3" s="16" t="n">
        <f aca="false">IFERROR(VLOOKUP($M3, LostPackets!$D$2:$L$200, 6, 0),0)</f>
        <v>0.025</v>
      </c>
      <c r="J3" s="16" t="n">
        <f aca="false">IFERROR(VLOOKUP($M3, LostPackets!$D$2:$L$200, 7, 0),0)*2.262 /SQRT(10)</f>
        <v>0.0425679318725075</v>
      </c>
      <c r="K3" s="16" t="n">
        <f aca="false">IFERROR(VLOOKUP($M3, LostPackets!$D$2:$L$200, 8, 0),0)</f>
        <v>0.025</v>
      </c>
      <c r="L3" s="16" t="n">
        <f aca="false">IFERROR(VLOOKUP($M3, LostPackets!$D$2:$L$200, 9, 0),0)*2.262 /SQRT(10)</f>
        <v>0.0425679318725075</v>
      </c>
      <c r="M3" s="17" t="str">
        <f aca="false">D3&amp;A3&amp;B3</f>
        <v>NO SDWN25610</v>
      </c>
    </row>
    <row r="4" s="18" customFormat="true" ht="12.8" hidden="false" customHeight="false" outlineLevel="0" collapsed="false">
      <c r="A4" s="15" t="n">
        <v>256</v>
      </c>
      <c r="B4" s="15" t="n">
        <v>10</v>
      </c>
      <c r="C4" s="15"/>
      <c r="D4" s="15" t="s">
        <v>13</v>
      </c>
      <c r="E4" s="16" t="n">
        <f aca="false">IFERROR(VLOOKUP($M4, LostPackets!$D$2:$L$200, 2, 0),0)</f>
        <v>0.02778</v>
      </c>
      <c r="F4" s="16" t="n">
        <f aca="false">IFERROR(VLOOKUP($M4, LostPackets!$D$2:$L$200, 3, 0),0)*2.262 /SQRT(10)</f>
        <v>0.0444277306100057</v>
      </c>
      <c r="G4" s="16" t="n">
        <f aca="false">IFERROR(VLOOKUP($M4, LostPackets!$D$2:$L$200, 4, 0),0)</f>
        <v>0</v>
      </c>
      <c r="H4" s="16" t="n">
        <f aca="false">IFERROR(VLOOKUP($M4, LostPackets!$D$2:$L$200, 5, 0),0)*2.262 /SQRT(10)</f>
        <v>0</v>
      </c>
      <c r="I4" s="16" t="n">
        <f aca="false">IFERROR(VLOOKUP($M4, LostPackets!$D$2:$L$200, 6, 0),0)</f>
        <v>0.01667</v>
      </c>
      <c r="J4" s="16" t="n">
        <f aca="false">IFERROR(VLOOKUP($M4, LostPackets!$D$2:$L$200, 7, 0),0)*2.262 /SQRT(10)</f>
        <v>0.0357653603365044</v>
      </c>
      <c r="K4" s="16" t="n">
        <f aca="false">IFERROR(VLOOKUP($M4, LostPackets!$D$2:$L$200, 8, 0),0)</f>
        <v>0</v>
      </c>
      <c r="L4" s="16" t="n">
        <f aca="false">IFERROR(VLOOKUP($M4, LostPackets!$D$2:$L$200, 9, 0),0)*2.262 /SQRT(10)</f>
        <v>0</v>
      </c>
      <c r="M4" s="17" t="str">
        <f aca="false">D4&amp;A4&amp;B4</f>
        <v>SDWN EDCA25610</v>
      </c>
    </row>
    <row r="5" s="18" customFormat="true" ht="12.8" hidden="false" customHeight="false" outlineLevel="0" collapsed="false">
      <c r="A5" s="15" t="n">
        <v>256</v>
      </c>
      <c r="B5" s="15" t="n">
        <v>10</v>
      </c>
      <c r="C5" s="15"/>
      <c r="D5" s="15" t="s">
        <v>14</v>
      </c>
      <c r="E5" s="16" t="n">
        <f aca="false">IFERROR(VLOOKUP($M5, LostPackets!$D$2:$L$200, 2, 0),0)</f>
        <v>0.02778</v>
      </c>
      <c r="F5" s="16" t="n">
        <f aca="false">IFERROR(VLOOKUP($M5, LostPackets!$D$2:$L$200, 3, 0),0)*2.262 /SQRT(10)</f>
        <v>0.0444277306100057</v>
      </c>
      <c r="G5" s="16" t="n">
        <f aca="false">IFERROR(VLOOKUP($M5, LostPackets!$D$2:$L$200, 4, 0),0)</f>
        <v>0</v>
      </c>
      <c r="H5" s="16" t="n">
        <f aca="false">IFERROR(VLOOKUP($M5, LostPackets!$D$2:$L$200, 5, 0),0)*2.262 /SQRT(10)</f>
        <v>0</v>
      </c>
      <c r="I5" s="16" t="n">
        <f aca="false">IFERROR(VLOOKUP($M5, LostPackets!$D$2:$L$200, 6, 0),0)</f>
        <v>0.01667</v>
      </c>
      <c r="J5" s="16" t="n">
        <f aca="false">IFERROR(VLOOKUP($M5, LostPackets!$D$2:$L$200, 7, 0),0)*2.262 /SQRT(10)</f>
        <v>0.0357653603365044</v>
      </c>
      <c r="K5" s="16" t="n">
        <f aca="false">IFERROR(VLOOKUP($M5, LostPackets!$D$2:$L$200, 8, 0),0)</f>
        <v>0</v>
      </c>
      <c r="L5" s="16" t="n">
        <f aca="false">IFERROR(VLOOKUP($M5, LostPackets!$D$2:$L$200, 9, 0),0)*2.262 /SQRT(10)</f>
        <v>0</v>
      </c>
      <c r="M5" s="17" t="str">
        <f aca="false">D5&amp;A5&amp;B5</f>
        <v>SDWN MOD25610</v>
      </c>
    </row>
    <row r="6" s="18" customFormat="true" ht="12.8" hidden="false" customHeight="false" outlineLevel="0" collapsed="false">
      <c r="A6" s="15" t="n">
        <v>256</v>
      </c>
      <c r="B6" s="15" t="n">
        <v>10</v>
      </c>
      <c r="C6" s="15"/>
      <c r="D6" s="15" t="s">
        <v>15</v>
      </c>
      <c r="E6" s="16" t="n">
        <f aca="false">IFERROR(VLOOKUP($M6, LostPackets!$D$2:$L$200, 2, 0),0)</f>
        <v>0.00556</v>
      </c>
      <c r="F6" s="16" t="n">
        <f aca="false">IFERROR(VLOOKUP($M6, LostPackets!$D$2:$L$200, 3, 0),0)*2.262 /SQRT(10)</f>
        <v>0.0214019916253642</v>
      </c>
      <c r="G6" s="16" t="n">
        <f aca="false">IFERROR(VLOOKUP($M6, LostPackets!$D$2:$L$200, 4, 0),0)</f>
        <v>0.01111</v>
      </c>
      <c r="H6" s="16" t="n">
        <f aca="false">IFERROR(VLOOKUP($M6, LostPackets!$D$2:$L$200, 5, 0),0)*2.262 /SQRT(10)</f>
        <v>0.0297353205837697</v>
      </c>
      <c r="I6" s="16" t="n">
        <f aca="false">IFERROR(VLOOKUP($M6, LostPackets!$D$2:$L$200, 6, 0),0)</f>
        <v>0.00833</v>
      </c>
      <c r="J6" s="16" t="n">
        <f aca="false">IFERROR(VLOOKUP($M6, LostPackets!$D$2:$L$200, 7, 0),0)*2.262 /SQRT(10)</f>
        <v>0.0259799577484368</v>
      </c>
      <c r="K6" s="16" t="n">
        <f aca="false">IFERROR(VLOOKUP($M6, LostPackets!$D$2:$L$200, 8, 0),0)</f>
        <v>0</v>
      </c>
      <c r="L6" s="16" t="n">
        <f aca="false">IFERROR(VLOOKUP($M6, LostPackets!$D$2:$L$200, 9, 0),0)*2.262 /SQRT(10)</f>
        <v>0</v>
      </c>
      <c r="M6" s="17" t="str">
        <f aca="false">D6&amp;A6&amp;B6</f>
        <v>SDWN IA25610</v>
      </c>
    </row>
    <row r="7" s="22" customFormat="true" ht="12.8" hidden="false" customHeight="false" outlineLevel="0" collapsed="false">
      <c r="A7" s="19" t="n">
        <v>256</v>
      </c>
      <c r="B7" s="19" t="n">
        <v>20</v>
      </c>
      <c r="C7" s="19" t="s">
        <v>25</v>
      </c>
      <c r="D7" s="19" t="s">
        <v>12</v>
      </c>
      <c r="E7" s="20" t="n">
        <f aca="false">IFERROR(VLOOKUP($M7, LostPackets!$D$2:$L$200, 2, 0),0)</f>
        <v>0.03333</v>
      </c>
      <c r="F7" s="20" t="n">
        <f aca="false">IFERROR(VLOOKUP($M7, LostPackets!$D$2:$L$200, 3, 0),0)*2.262 /SQRT(10)</f>
        <v>0.0476895314726949</v>
      </c>
      <c r="G7" s="20" t="n">
        <f aca="false">IFERROR(VLOOKUP($M7, LostPackets!$D$2:$L$200, 4, 0),0)</f>
        <v>0.02333</v>
      </c>
      <c r="H7" s="20" t="n">
        <f aca="false">IFERROR(VLOOKUP($M7, LostPackets!$D$2:$L$200, 5, 0),0)*2.262 /SQRT(10)</f>
        <v>0.041366215765201</v>
      </c>
      <c r="I7" s="20" t="n">
        <f aca="false">IFERROR(VLOOKUP($M7, LostPackets!$D$2:$L$200, 6, 0),0)</f>
        <v>0.01</v>
      </c>
      <c r="J7" s="20" t="n">
        <f aca="false">IFERROR(VLOOKUP($M7, LostPackets!$D$2:$L$200, 7, 0),0)*2.262 /SQRT(10)</f>
        <v>0.0283118592423769</v>
      </c>
      <c r="K7" s="20" t="n">
        <f aca="false">IFERROR(VLOOKUP($M7, LostPackets!$D$2:$L$200, 8, 0),0)</f>
        <v>0.00667</v>
      </c>
      <c r="L7" s="20" t="n">
        <f aca="false">IFERROR(VLOOKUP($M7, LostPackets!$D$2:$L$200, 9, 0),0)*2.262 /SQRT(10)</f>
        <v>0.0233619333718047</v>
      </c>
      <c r="M7" s="21" t="str">
        <f aca="false">D7&amp;A7&amp;B7</f>
        <v>NO SDWN25620</v>
      </c>
    </row>
    <row r="8" s="22" customFormat="true" ht="12.8" hidden="false" customHeight="false" outlineLevel="0" collapsed="false">
      <c r="A8" s="19" t="n">
        <v>256</v>
      </c>
      <c r="B8" s="19" t="n">
        <v>20</v>
      </c>
      <c r="C8" s="19"/>
      <c r="D8" s="19" t="s">
        <v>13</v>
      </c>
      <c r="E8" s="20" t="n">
        <f aca="false">IFERROR(VLOOKUP($M8, LostPackets!$D$2:$L$200, 2, 0),0)</f>
        <v>0.03</v>
      </c>
      <c r="F8" s="20" t="n">
        <f aca="false">IFERROR(VLOOKUP($M8, LostPackets!$D$2:$L$200, 3, 0),0)*2.262 /SQRT(10)</f>
        <v>0.0458011204469275</v>
      </c>
      <c r="G8" s="20" t="n">
        <f aca="false">IFERROR(VLOOKUP($M8, LostPackets!$D$2:$L$200, 4, 0),0)</f>
        <v>0.03</v>
      </c>
      <c r="H8" s="20" t="n">
        <f aca="false">IFERROR(VLOOKUP($M8, LostPackets!$D$2:$L$200, 5, 0),0)*2.262 /SQRT(10)</f>
        <v>0.0458011204469275</v>
      </c>
      <c r="I8" s="20" t="n">
        <f aca="false">IFERROR(VLOOKUP($M8, LostPackets!$D$2:$L$200, 6, 0),0)</f>
        <v>0.01</v>
      </c>
      <c r="J8" s="20" t="n">
        <f aca="false">IFERROR(VLOOKUP($M8, LostPackets!$D$2:$L$200, 7, 0),0)*2.262 /SQRT(10)</f>
        <v>0.0283118592423769</v>
      </c>
      <c r="K8" s="20" t="n">
        <f aca="false">IFERROR(VLOOKUP($M8, LostPackets!$D$2:$L$200, 8, 0),0)</f>
        <v>0.00333</v>
      </c>
      <c r="L8" s="20" t="n">
        <f aca="false">IFERROR(VLOOKUP($M8, LostPackets!$D$2:$L$200, 9, 0),0)*2.262 /SQRT(10)</f>
        <v>0.0166881171330129</v>
      </c>
      <c r="M8" s="21" t="str">
        <f aca="false">D8&amp;A8&amp;B8</f>
        <v>SDWN EDCA25620</v>
      </c>
    </row>
    <row r="9" s="22" customFormat="true" ht="12.8" hidden="false" customHeight="false" outlineLevel="0" collapsed="false">
      <c r="A9" s="19" t="n">
        <v>256</v>
      </c>
      <c r="B9" s="19" t="n">
        <v>20</v>
      </c>
      <c r="C9" s="19"/>
      <c r="D9" s="19" t="s">
        <v>14</v>
      </c>
      <c r="E9" s="20" t="n">
        <f aca="false">IFERROR(VLOOKUP($M9, LostPackets!$D$2:$L$200, 2, 0),0)</f>
        <v>0.03</v>
      </c>
      <c r="F9" s="20" t="n">
        <f aca="false">IFERROR(VLOOKUP($M9, LostPackets!$D$2:$L$200, 3, 0),0)*2.262 /SQRT(10)</f>
        <v>0.0458011204469275</v>
      </c>
      <c r="G9" s="20" t="n">
        <f aca="false">IFERROR(VLOOKUP($M9, LostPackets!$D$2:$L$200, 4, 0),0)</f>
        <v>0.03</v>
      </c>
      <c r="H9" s="20" t="n">
        <f aca="false">IFERROR(VLOOKUP($M9, LostPackets!$D$2:$L$200, 5, 0),0)*2.262 /SQRT(10)</f>
        <v>0.0458011204469275</v>
      </c>
      <c r="I9" s="20" t="n">
        <f aca="false">IFERROR(VLOOKUP($M9, LostPackets!$D$2:$L$200, 6, 0),0)</f>
        <v>0.01</v>
      </c>
      <c r="J9" s="20" t="n">
        <f aca="false">IFERROR(VLOOKUP($M9, LostPackets!$D$2:$L$200, 7, 0),0)*2.262 /SQRT(10)</f>
        <v>0.0283118592423769</v>
      </c>
      <c r="K9" s="20" t="n">
        <f aca="false">IFERROR(VLOOKUP($M9, LostPackets!$D$2:$L$200, 8, 0),0)</f>
        <v>0</v>
      </c>
      <c r="L9" s="20" t="n">
        <f aca="false">IFERROR(VLOOKUP($M9, LostPackets!$D$2:$L$200, 9, 0),0)*2.262 /SQRT(10)</f>
        <v>0</v>
      </c>
      <c r="M9" s="21" t="str">
        <f aca="false">D9&amp;A9&amp;B9</f>
        <v>SDWN MOD25620</v>
      </c>
    </row>
    <row r="10" s="22" customFormat="true" ht="12.8" hidden="false" customHeight="false" outlineLevel="0" collapsed="false">
      <c r="A10" s="19" t="n">
        <v>256</v>
      </c>
      <c r="B10" s="19" t="n">
        <v>20</v>
      </c>
      <c r="C10" s="19"/>
      <c r="D10" s="19" t="s">
        <v>15</v>
      </c>
      <c r="E10" s="20" t="n">
        <f aca="false">IFERROR(VLOOKUP($M10, LostPackets!$D$2:$L$200, 2, 0),0)</f>
        <v>0.01667</v>
      </c>
      <c r="F10" s="20" t="n">
        <f aca="false">IFERROR(VLOOKUP($M10, LostPackets!$D$2:$L$200, 3, 0),0)*2.262 /SQRT(10)</f>
        <v>0.0357653603365044</v>
      </c>
      <c r="G10" s="20" t="n">
        <f aca="false">IFERROR(VLOOKUP($M10, LostPackets!$D$2:$L$200, 4, 0),0)</f>
        <v>0.03667</v>
      </c>
      <c r="H10" s="20" t="n">
        <f aca="false">IFERROR(VLOOKUP($M10, LostPackets!$D$2:$L$200, 5, 0),0)*2.262 /SQRT(10)</f>
        <v>0.0493848095526452</v>
      </c>
      <c r="I10" s="20" t="n">
        <f aca="false">IFERROR(VLOOKUP($M10, LostPackets!$D$2:$L$200, 6, 0),0)</f>
        <v>0.01667</v>
      </c>
      <c r="J10" s="20" t="n">
        <f aca="false">IFERROR(VLOOKUP($M10, LostPackets!$D$2:$L$200, 7, 0),0)*2.262 /SQRT(10)</f>
        <v>0.0357653603365044</v>
      </c>
      <c r="K10" s="20" t="n">
        <f aca="false">IFERROR(VLOOKUP($M10, LostPackets!$D$2:$L$200, 8, 0),0)</f>
        <v>0</v>
      </c>
      <c r="L10" s="20" t="n">
        <f aca="false">IFERROR(VLOOKUP($M10, LostPackets!$D$2:$L$200, 9, 0),0)*2.262 /SQRT(10)</f>
        <v>0</v>
      </c>
      <c r="M10" s="21" t="str">
        <f aca="false">D10&amp;A10&amp;B10</f>
        <v>SDWN IA25620</v>
      </c>
    </row>
    <row r="11" s="26" customFormat="true" ht="12.8" hidden="false" customHeight="false" outlineLevel="0" collapsed="false">
      <c r="A11" s="23" t="n">
        <v>256</v>
      </c>
      <c r="B11" s="23" t="n">
        <v>30</v>
      </c>
      <c r="C11" s="23" t="s">
        <v>26</v>
      </c>
      <c r="D11" s="23" t="s">
        <v>12</v>
      </c>
      <c r="E11" s="24" t="n">
        <f aca="false">IFERROR(VLOOKUP($M11, LostPackets!$D$2:$L$200, 2, 0),0)</f>
        <v>0.07083</v>
      </c>
      <c r="F11" s="24" t="n">
        <f aca="false">IFERROR(VLOOKUP($M11, LostPackets!$D$2:$L$200, 3, 0),0)*2.262 /SQRT(10)</f>
        <v>0.0618740733821526</v>
      </c>
      <c r="G11" s="24" t="n">
        <f aca="false">IFERROR(VLOOKUP($M11, LostPackets!$D$2:$L$200, 4, 0),0)</f>
        <v>0.025</v>
      </c>
      <c r="H11" s="24" t="n">
        <f aca="false">IFERROR(VLOOKUP($M11, LostPackets!$D$2:$L$200, 5, 0),0)*2.262 /SQRT(10)</f>
        <v>0.0425679318725075</v>
      </c>
      <c r="I11" s="24" t="n">
        <f aca="false">IFERROR(VLOOKUP($M11, LostPackets!$D$2:$L$200, 6, 0),0)</f>
        <v>0.0119</v>
      </c>
      <c r="J11" s="24" t="n">
        <f aca="false">IFERROR(VLOOKUP($M11, LostPackets!$D$2:$L$200, 7, 0),0)*2.262 /SQRT(10)</f>
        <v>0.0307009853128554</v>
      </c>
      <c r="K11" s="24" t="n">
        <f aca="false">IFERROR(VLOOKUP($M11, LostPackets!$D$2:$L$200, 8, 0),0)</f>
        <v>0.01429</v>
      </c>
      <c r="L11" s="24" t="n">
        <f aca="false">IFERROR(VLOOKUP($M11, LostPackets!$D$2:$L$200, 9, 0),0)*2.262 /SQRT(10)</f>
        <v>0.0333762342660259</v>
      </c>
      <c r="M11" s="25" t="str">
        <f aca="false">D11&amp;A11&amp;B11</f>
        <v>NO SDWN25630</v>
      </c>
    </row>
    <row r="12" s="26" customFormat="true" ht="12.8" hidden="false" customHeight="false" outlineLevel="0" collapsed="false">
      <c r="A12" s="23" t="n">
        <v>256</v>
      </c>
      <c r="B12" s="23" t="n">
        <v>30</v>
      </c>
      <c r="C12" s="23"/>
      <c r="D12" s="23" t="s">
        <v>13</v>
      </c>
      <c r="E12" s="24" t="n">
        <f aca="false">IFERROR(VLOOKUP($M12, LostPackets!$D$2:$L$200, 2, 0),0)</f>
        <v>0.05485</v>
      </c>
      <c r="F12" s="24" t="n">
        <f aca="false">IFERROR(VLOOKUP($M12, LostPackets!$D$2:$L$200, 3, 0),0)*2.262 /SQRT(10)</f>
        <v>0.0591415998524436</v>
      </c>
      <c r="G12" s="24" t="n">
        <f aca="false">IFERROR(VLOOKUP($M12, LostPackets!$D$2:$L$200, 4, 0),0)</f>
        <v>0.04375</v>
      </c>
      <c r="H12" s="24" t="n">
        <f aca="false">IFERROR(VLOOKUP($M12, LostPackets!$D$2:$L$200, 5, 0),0)*2.262 /SQRT(10)</f>
        <v>0.0557367375484084</v>
      </c>
      <c r="I12" s="24" t="n">
        <f aca="false">IFERROR(VLOOKUP($M12, LostPackets!$D$2:$L$200, 6, 0),0)</f>
        <v>0.0119</v>
      </c>
      <c r="J12" s="24" t="n">
        <f aca="false">IFERROR(VLOOKUP($M12, LostPackets!$D$2:$L$200, 7, 0),0)*2.262 /SQRT(10)</f>
        <v>0.0307009853128554</v>
      </c>
      <c r="K12" s="24" t="n">
        <f aca="false">IFERROR(VLOOKUP($M12, LostPackets!$D$2:$L$200, 8, 0),0)</f>
        <v>0.01449</v>
      </c>
      <c r="L12" s="24" t="n">
        <f aca="false">IFERROR(VLOOKUP($M12, LostPackets!$D$2:$L$200, 9, 0),0)*2.262 /SQRT(10)</f>
        <v>0.0335908264280449</v>
      </c>
      <c r="M12" s="25" t="str">
        <f aca="false">D12&amp;A12&amp;B12</f>
        <v>SDWN EDCA25630</v>
      </c>
    </row>
    <row r="13" s="26" customFormat="true" ht="12.8" hidden="false" customHeight="false" outlineLevel="0" collapsed="false">
      <c r="A13" s="23" t="n">
        <v>256</v>
      </c>
      <c r="B13" s="23" t="n">
        <v>30</v>
      </c>
      <c r="C13" s="23"/>
      <c r="D13" s="23" t="s">
        <v>14</v>
      </c>
      <c r="E13" s="24" t="n">
        <f aca="false">IFERROR(VLOOKUP($M13, LostPackets!$D$2:$L$200, 2, 0),0)</f>
        <v>0.05417</v>
      </c>
      <c r="F13" s="24" t="n">
        <f aca="false">IFERROR(VLOOKUP($M13, LostPackets!$D$2:$L$200, 3, 0),0)*2.262 /SQRT(10)</f>
        <v>0.0558368805573506</v>
      </c>
      <c r="G13" s="24" t="n">
        <f aca="false">IFERROR(VLOOKUP($M13, LostPackets!$D$2:$L$200, 4, 0),0)</f>
        <v>0.03333</v>
      </c>
      <c r="H13" s="24" t="n">
        <f aca="false">IFERROR(VLOOKUP($M13, LostPackets!$D$2:$L$200, 5, 0),0)*2.262 /SQRT(10)</f>
        <v>0.0476895314726949</v>
      </c>
      <c r="I13" s="24" t="n">
        <f aca="false">IFERROR(VLOOKUP($M13, LostPackets!$D$2:$L$200, 6, 0),0)</f>
        <v>0.00952</v>
      </c>
      <c r="J13" s="24" t="n">
        <f aca="false">IFERROR(VLOOKUP($M13, LostPackets!$D$2:$L$200, 7, 0),0)*2.262 /SQRT(10)</f>
        <v>0.0276752358283871</v>
      </c>
      <c r="K13" s="24" t="n">
        <f aca="false">IFERROR(VLOOKUP($M13, LostPackets!$D$2:$L$200, 8, 0),0)</f>
        <v>0.00714</v>
      </c>
      <c r="L13" s="24" t="n">
        <f aca="false">IFERROR(VLOOKUP($M13, LostPackets!$D$2:$L$200, 9, 0),0)*2.262 /SQRT(10)</f>
        <v>0.0241487712992078</v>
      </c>
      <c r="M13" s="25" t="str">
        <f aca="false">D13&amp;A13&amp;B13</f>
        <v>SDWN MOD25630</v>
      </c>
    </row>
    <row r="14" s="26" customFormat="true" ht="12.8" hidden="false" customHeight="false" outlineLevel="0" collapsed="false">
      <c r="A14" s="23" t="n">
        <v>256</v>
      </c>
      <c r="B14" s="23" t="n">
        <v>30</v>
      </c>
      <c r="C14" s="23"/>
      <c r="D14" s="23" t="s">
        <v>15</v>
      </c>
      <c r="E14" s="24" t="n">
        <f aca="false">IFERROR(VLOOKUP($M14, LostPackets!$D$2:$L$200, 2, 0),0)</f>
        <v>0.05417</v>
      </c>
      <c r="F14" s="24" t="n">
        <f aca="false">IFERROR(VLOOKUP($M14, LostPackets!$D$2:$L$200, 3, 0),0)*2.262 /SQRT(10)</f>
        <v>0.0558368805573506</v>
      </c>
      <c r="G14" s="24" t="n">
        <f aca="false">IFERROR(VLOOKUP($M14, LostPackets!$D$2:$L$200, 4, 0),0)</f>
        <v>0.01875</v>
      </c>
      <c r="H14" s="24" t="n">
        <f aca="false">IFERROR(VLOOKUP($M14, LostPackets!$D$2:$L$200, 5, 0),0)*2.262 /SQRT(10)</f>
        <v>0.0421244414043348</v>
      </c>
      <c r="I14" s="24" t="n">
        <f aca="false">IFERROR(VLOOKUP($M14, LostPackets!$D$2:$L$200, 6, 0),0)</f>
        <v>0.02619</v>
      </c>
      <c r="J14" s="24" t="n">
        <f aca="false">IFERROR(VLOOKUP($M14, LostPackets!$D$2:$L$200, 7, 0),0)*2.262 /SQRT(10)</f>
        <v>0.0478397459861082</v>
      </c>
      <c r="K14" s="24" t="n">
        <f aca="false">IFERROR(VLOOKUP($M14, LostPackets!$D$2:$L$200, 8, 0),0)</f>
        <v>0.0119</v>
      </c>
      <c r="L14" s="24" t="n">
        <f aca="false">IFERROR(VLOOKUP($M14, LostPackets!$D$2:$L$200, 9, 0),0)*2.262 /SQRT(10)</f>
        <v>0.0307009853128554</v>
      </c>
      <c r="M14" s="25" t="str">
        <f aca="false">D14&amp;A14&amp;B14</f>
        <v>SDWN IA25630</v>
      </c>
    </row>
    <row r="15" s="30" customFormat="true" ht="12.8" hidden="false" customHeight="false" outlineLevel="0" collapsed="false">
      <c r="A15" s="27" t="n">
        <v>256</v>
      </c>
      <c r="B15" s="27" t="n">
        <v>40</v>
      </c>
      <c r="C15" s="27" t="s">
        <v>27</v>
      </c>
      <c r="D15" s="27" t="s">
        <v>12</v>
      </c>
      <c r="E15" s="28" t="n">
        <f aca="false">IFERROR(VLOOKUP($M15, LostPackets!$D$2:$L$200, 2, 0),0)</f>
        <v>0.10333</v>
      </c>
      <c r="F15" s="28" t="n">
        <f aca="false">IFERROR(VLOOKUP($M15, LostPackets!$D$2:$L$200, 3, 0),0)*2.262 /SQRT(10)</f>
        <v>0.0822174103415563</v>
      </c>
      <c r="G15" s="28" t="n">
        <f aca="false">IFERROR(VLOOKUP($M15, LostPackets!$D$2:$L$200, 4, 0),0)</f>
        <v>0.055</v>
      </c>
      <c r="H15" s="28" t="n">
        <f aca="false">IFERROR(VLOOKUP($M15, LostPackets!$D$2:$L$200, 5, 0),0)*2.262 /SQRT(10)</f>
        <v>0.0716380167540183</v>
      </c>
      <c r="I15" s="28" t="n">
        <f aca="false">IFERROR(VLOOKUP($M15, LostPackets!$D$2:$L$200, 6, 0),0)</f>
        <v>0.035</v>
      </c>
      <c r="J15" s="28" t="n">
        <f aca="false">IFERROR(VLOOKUP($M15, LostPackets!$D$2:$L$200, 7, 0),0)*2.262 /SQRT(10)</f>
        <v>0.0514019758756241</v>
      </c>
      <c r="K15" s="28" t="n">
        <f aca="false">IFERROR(VLOOKUP($M15, LostPackets!$D$2:$L$200, 8, 0),0)</f>
        <v>0.01667</v>
      </c>
      <c r="L15" s="28" t="n">
        <f aca="false">IFERROR(VLOOKUP($M15, LostPackets!$D$2:$L$200, 9, 0),0)*2.262 /SQRT(10)</f>
        <v>0.0395421823880392</v>
      </c>
      <c r="M15" s="29" t="str">
        <f aca="false">D15&amp;A15&amp;B15</f>
        <v>NO SDWN25640</v>
      </c>
    </row>
    <row r="16" s="30" customFormat="true" ht="12.8" hidden="false" customHeight="false" outlineLevel="0" collapsed="false">
      <c r="A16" s="27" t="n">
        <v>256</v>
      </c>
      <c r="B16" s="27" t="n">
        <v>40</v>
      </c>
      <c r="C16" s="27"/>
      <c r="D16" s="27" t="s">
        <v>13</v>
      </c>
      <c r="E16" s="28" t="n">
        <f aca="false">IFERROR(VLOOKUP($M16, LostPackets!$D$2:$L$200, 2, 0),0)</f>
        <v>0.08673</v>
      </c>
      <c r="F16" s="28" t="n">
        <f aca="false">IFERROR(VLOOKUP($M16, LostPackets!$D$2:$L$200, 3, 0),0)*2.262 /SQRT(10)</f>
        <v>0.0706938112411345</v>
      </c>
      <c r="G16" s="28" t="n">
        <f aca="false">IFERROR(VLOOKUP($M16, LostPackets!$D$2:$L$200, 4, 0),0)</f>
        <v>0.03741</v>
      </c>
      <c r="H16" s="28" t="n">
        <f aca="false">IFERROR(VLOOKUP($M16, LostPackets!$D$2:$L$200, 5, 0),0)*2.262 /SQRT(10)</f>
        <v>0.0497424631560103</v>
      </c>
      <c r="I16" s="28" t="n">
        <f aca="false">IFERROR(VLOOKUP($M16, LostPackets!$D$2:$L$200, 6, 0),0)</f>
        <v>0.02234</v>
      </c>
      <c r="J16" s="28" t="n">
        <f aca="false">IFERROR(VLOOKUP($M16, LostPackets!$D$2:$L$200, 7, 0),0)*2.262 /SQRT(10)</f>
        <v>0.0406151431981344</v>
      </c>
      <c r="K16" s="28" t="n">
        <f aca="false">IFERROR(VLOOKUP($M16, LostPackets!$D$2:$L$200, 8, 0),0)</f>
        <v>0.01531</v>
      </c>
      <c r="L16" s="28" t="n">
        <f aca="false">IFERROR(VLOOKUP($M16, LostPackets!$D$2:$L$200, 9, 0),0)*2.262 /SQRT(10)</f>
        <v>0.0344277358599191</v>
      </c>
      <c r="M16" s="29" t="str">
        <f aca="false">D16&amp;A16&amp;B16</f>
        <v>SDWN EDCA25640</v>
      </c>
    </row>
    <row r="17" s="30" customFormat="true" ht="12.8" hidden="false" customHeight="false" outlineLevel="0" collapsed="false">
      <c r="A17" s="27" t="n">
        <v>256</v>
      </c>
      <c r="B17" s="27" t="n">
        <v>40</v>
      </c>
      <c r="C17" s="27"/>
      <c r="D17" s="27" t="s">
        <v>14</v>
      </c>
      <c r="E17" s="28" t="n">
        <f aca="false">IFERROR(VLOOKUP($M17, LostPackets!$D$2:$L$200, 2, 0),0)</f>
        <v>0.08167</v>
      </c>
      <c r="F17" s="28" t="n">
        <f aca="false">IFERROR(VLOOKUP($M17, LostPackets!$D$2:$L$200, 3, 0),0)*2.262 /SQRT(10)</f>
        <v>0.0595993964647509</v>
      </c>
      <c r="G17" s="28" t="n">
        <f aca="false">IFERROR(VLOOKUP($M17, LostPackets!$D$2:$L$200, 4, 0),0)</f>
        <v>0.01347</v>
      </c>
      <c r="H17" s="28" t="n">
        <f aca="false">IFERROR(VLOOKUP($M17, LostPackets!$D$2:$L$200, 5, 0),0)*2.262 /SQRT(10)</f>
        <v>0.0324892533296806</v>
      </c>
      <c r="I17" s="28" t="n">
        <f aca="false">IFERROR(VLOOKUP($M17, LostPackets!$D$2:$L$200, 6, 0),0)</f>
        <v>0.01852</v>
      </c>
      <c r="J17" s="28" t="n">
        <f aca="false">IFERROR(VLOOKUP($M17, LostPackets!$D$2:$L$200, 7, 0),0)*2.262 /SQRT(10)</f>
        <v>0.037467791488522</v>
      </c>
      <c r="K17" s="28" t="n">
        <f aca="false">IFERROR(VLOOKUP($M17, LostPackets!$D$2:$L$200, 8, 0),0)</f>
        <v>0.00168</v>
      </c>
      <c r="L17" s="28" t="n">
        <f aca="false">IFERROR(VLOOKUP($M17, LostPackets!$D$2:$L$200, 9, 0),0)*2.262 /SQRT(10)</f>
        <v>0.0119241711361906</v>
      </c>
      <c r="M17" s="29" t="str">
        <f aca="false">D17&amp;A17&amp;B17</f>
        <v>SDWN MOD25640</v>
      </c>
    </row>
    <row r="18" s="30" customFormat="true" ht="12.8" hidden="false" customHeight="false" outlineLevel="0" collapsed="false">
      <c r="A18" s="27" t="n">
        <v>256</v>
      </c>
      <c r="B18" s="27" t="n">
        <v>40</v>
      </c>
      <c r="C18" s="27"/>
      <c r="D18" s="27" t="s">
        <v>15</v>
      </c>
      <c r="E18" s="28" t="n">
        <f aca="false">IFERROR(VLOOKUP($M18, LostPackets!$D$2:$L$200, 2, 0),0)</f>
        <v>0.09167</v>
      </c>
      <c r="F18" s="28" t="n">
        <f aca="false">IFERROR(VLOOKUP($M18, LostPackets!$D$2:$L$200, 3, 0),0)*2.262 /SQRT(10)</f>
        <v>0.0797496004783374</v>
      </c>
      <c r="G18" s="28" t="n">
        <f aca="false">IFERROR(VLOOKUP($M18, LostPackets!$D$2:$L$200, 4, 0),0)</f>
        <v>0.065</v>
      </c>
      <c r="H18" s="28" t="n">
        <f aca="false">IFERROR(VLOOKUP($M18, LostPackets!$D$2:$L$200, 5, 0),0)*2.262 /SQRT(10)</f>
        <v>0.071323281583057</v>
      </c>
      <c r="I18" s="28" t="n">
        <f aca="false">IFERROR(VLOOKUP($M18, LostPackets!$D$2:$L$200, 6, 0),0)</f>
        <v>0.02667</v>
      </c>
      <c r="J18" s="28" t="n">
        <f aca="false">IFERROR(VLOOKUP($M18, LostPackets!$D$2:$L$200, 7, 0),0)*2.262 /SQRT(10)</f>
        <v>0.0437052703312083</v>
      </c>
      <c r="K18" s="28" t="n">
        <f aca="false">IFERROR(VLOOKUP($M18, LostPackets!$D$2:$L$200, 8, 0),0)</f>
        <v>0.02167</v>
      </c>
      <c r="L18" s="28" t="n">
        <f aca="false">IFERROR(VLOOKUP($M18, LostPackets!$D$2:$L$200, 9, 0),0)*2.262 /SQRT(10)</f>
        <v>0.0434906781691893</v>
      </c>
      <c r="M18" s="29" t="str">
        <f aca="false">D18&amp;A18&amp;B18</f>
        <v>SDWN IA25640</v>
      </c>
    </row>
    <row r="19" s="34" customFormat="true" ht="12.8" hidden="false" customHeight="false" outlineLevel="0" collapsed="false">
      <c r="A19" s="31" t="n">
        <v>256</v>
      </c>
      <c r="B19" s="31" t="n">
        <v>50</v>
      </c>
      <c r="C19" s="31" t="s">
        <v>28</v>
      </c>
      <c r="D19" s="31" t="s">
        <v>12</v>
      </c>
      <c r="E19" s="32" t="n">
        <f aca="false">IFERROR(VLOOKUP($M19, LostPackets!$D$2:$L$200, 2, 0),0)</f>
        <v>0.10724</v>
      </c>
      <c r="F19" s="32" t="n">
        <f aca="false">IFERROR(VLOOKUP($M19, LostPackets!$D$2:$L$200, 3, 0),0)*2.262 /SQRT(10)</f>
        <v>0.0796637636135298</v>
      </c>
      <c r="G19" s="32" t="n">
        <f aca="false">IFERROR(VLOOKUP($M19, LostPackets!$D$2:$L$200, 4, 0),0)</f>
        <v>0.05469</v>
      </c>
      <c r="H19" s="32" t="n">
        <f aca="false">IFERROR(VLOOKUP($M19, LostPackets!$D$2:$L$200, 5, 0),0)*2.262 /SQRT(10)</f>
        <v>0.0746709193105538</v>
      </c>
      <c r="I19" s="32" t="n">
        <f aca="false">IFERROR(VLOOKUP($M19, LostPackets!$D$2:$L$200, 6, 0),0)</f>
        <v>0.04722</v>
      </c>
      <c r="J19" s="32" t="n">
        <f aca="false">IFERROR(VLOOKUP($M19, LostPackets!$D$2:$L$200, 7, 0),0)*2.262 /SQRT(10)</f>
        <v>0.0637982497682565</v>
      </c>
      <c r="K19" s="32" t="n">
        <f aca="false">IFERROR(VLOOKUP($M19, LostPackets!$D$2:$L$200, 8, 0),0)</f>
        <v>0.02778</v>
      </c>
      <c r="L19" s="32" t="n">
        <f aca="false">IFERROR(VLOOKUP($M19, LostPackets!$D$2:$L$200, 9, 0),0)*2.262 /SQRT(10)</f>
        <v>0.0494777994895201</v>
      </c>
      <c r="M19" s="33" t="str">
        <f aca="false">D19&amp;A19&amp;B19</f>
        <v>NO SDWN25650</v>
      </c>
    </row>
    <row r="20" s="34" customFormat="true" ht="12.8" hidden="false" customHeight="false" outlineLevel="0" collapsed="false">
      <c r="A20" s="31" t="n">
        <v>256</v>
      </c>
      <c r="B20" s="31" t="n">
        <v>50</v>
      </c>
      <c r="C20" s="31"/>
      <c r="D20" s="31" t="s">
        <v>13</v>
      </c>
      <c r="E20" s="32" t="n">
        <f aca="false">IFERROR(VLOOKUP($M20, LostPackets!$D$2:$L$200, 2, 0),0)</f>
        <v>0.11795</v>
      </c>
      <c r="F20" s="32" t="n">
        <f aca="false">IFERROR(VLOOKUP($M20, LostPackets!$D$2:$L$200, 3, 0),0)*2.262 /SQRT(10)</f>
        <v>0.0880400110043391</v>
      </c>
      <c r="G20" s="32" t="n">
        <f aca="false">IFERROR(VLOOKUP($M20, LostPackets!$D$2:$L$200, 4, 0),0)</f>
        <v>0.05469</v>
      </c>
      <c r="H20" s="32" t="n">
        <f aca="false">IFERROR(VLOOKUP($M20, LostPackets!$D$2:$L$200, 5, 0),0)*2.262 /SQRT(10)</f>
        <v>0.0700714939712794</v>
      </c>
      <c r="I20" s="32" t="n">
        <f aca="false">IFERROR(VLOOKUP($M20, LostPackets!$D$2:$L$200, 6, 0),0)</f>
        <v>0.03361</v>
      </c>
      <c r="J20" s="32" t="n">
        <f aca="false">IFERROR(VLOOKUP($M20, LostPackets!$D$2:$L$200, 7, 0),0)*2.262 /SQRT(10)</f>
        <v>0.0502717904889905</v>
      </c>
      <c r="K20" s="32" t="n">
        <f aca="false">IFERROR(VLOOKUP($M20, LostPackets!$D$2:$L$200, 8, 0),0)</f>
        <v>0.03056</v>
      </c>
      <c r="L20" s="32" t="n">
        <f aca="false">IFERROR(VLOOKUP($M20, LostPackets!$D$2:$L$200, 9, 0),0)*2.262 /SQRT(10)</f>
        <v>0.0486265839135113</v>
      </c>
      <c r="M20" s="33" t="str">
        <f aca="false">D20&amp;A20&amp;B20</f>
        <v>SDWN EDCA25650</v>
      </c>
    </row>
    <row r="21" s="34" customFormat="true" ht="12.8" hidden="false" customHeight="false" outlineLevel="0" collapsed="false">
      <c r="A21" s="31" t="n">
        <v>256</v>
      </c>
      <c r="B21" s="31" t="n">
        <v>50</v>
      </c>
      <c r="C21" s="31"/>
      <c r="D21" s="31" t="s">
        <v>14</v>
      </c>
      <c r="E21" s="32" t="n">
        <f aca="false">IFERROR(VLOOKUP($M21, LostPackets!$D$2:$L$200, 2, 0),0)</f>
        <v>0.08656</v>
      </c>
      <c r="F21" s="32" t="n">
        <f aca="false">IFERROR(VLOOKUP($M21, LostPackets!$D$2:$L$200, 3, 0),0)*2.262 /SQRT(10)</f>
        <v>0.0613876644815761</v>
      </c>
      <c r="G21" s="32" t="n">
        <f aca="false">IFERROR(VLOOKUP($M21, LostPackets!$D$2:$L$200, 4, 0),0)</f>
        <v>0.02308</v>
      </c>
      <c r="H21" s="32" t="n">
        <f aca="false">IFERROR(VLOOKUP($M21, LostPackets!$D$2:$L$200, 5, 0),0)*2.262 /SQRT(10)</f>
        <v>0.0411730828193838</v>
      </c>
      <c r="I21" s="32" t="n">
        <f aca="false">IFERROR(VLOOKUP($M21, LostPackets!$D$2:$L$200, 6, 0),0)</f>
        <v>0.01389</v>
      </c>
      <c r="J21" s="32" t="n">
        <f aca="false">IFERROR(VLOOKUP($M21, LostPackets!$D$2:$L$200, 7, 0),0)*2.262 /SQRT(10)</f>
        <v>0.0329470499419878</v>
      </c>
      <c r="K21" s="32" t="n">
        <f aca="false">IFERROR(VLOOKUP($M21, LostPackets!$D$2:$L$200, 8, 0),0)</f>
        <v>0.00139</v>
      </c>
      <c r="L21" s="32" t="n">
        <f aca="false">IFERROR(VLOOKUP($M21, LostPackets!$D$2:$L$200, 9, 0),0)*2.262 /SQRT(10)</f>
        <v>0.0108369041819608</v>
      </c>
      <c r="M21" s="33" t="str">
        <f aca="false">D21&amp;A21&amp;B21</f>
        <v>SDWN MOD25650</v>
      </c>
    </row>
    <row r="22" s="34" customFormat="true" ht="12.8" hidden="false" customHeight="false" outlineLevel="0" collapsed="false">
      <c r="A22" s="31" t="n">
        <v>256</v>
      </c>
      <c r="B22" s="31" t="n">
        <v>50</v>
      </c>
      <c r="C22" s="31"/>
      <c r="D22" s="31" t="s">
        <v>15</v>
      </c>
      <c r="E22" s="32" t="n">
        <f aca="false">IFERROR(VLOOKUP($M22, LostPackets!$D$2:$L$200, 2, 0),0)</f>
        <v>0.10128</v>
      </c>
      <c r="F22" s="32" t="n">
        <f aca="false">IFERROR(VLOOKUP($M22, LostPackets!$D$2:$L$200, 3, 0),0)*2.262 /SQRT(10)</f>
        <v>0.0868526010411672</v>
      </c>
      <c r="G22" s="32" t="n">
        <f aca="false">IFERROR(VLOOKUP($M22, LostPackets!$D$2:$L$200, 4, 0),0)</f>
        <v>0.07051</v>
      </c>
      <c r="H22" s="32" t="n">
        <f aca="false">IFERROR(VLOOKUP($M22, LostPackets!$D$2:$L$200, 5, 0),0)*2.262 /SQRT(10)</f>
        <v>0.0766451672011289</v>
      </c>
      <c r="I22" s="32" t="n">
        <f aca="false">IFERROR(VLOOKUP($M22, LostPackets!$D$2:$L$200, 6, 0),0)</f>
        <v>0.03472</v>
      </c>
      <c r="J22" s="32" t="n">
        <f aca="false">IFERROR(VLOOKUP($M22, LostPackets!$D$2:$L$200, 7, 0),0)*2.262 /SQRT(10)</f>
        <v>0.0552717878640339</v>
      </c>
      <c r="K22" s="32" t="n">
        <f aca="false">IFERROR(VLOOKUP($M22, LostPackets!$D$2:$L$200, 8, 0),0)</f>
        <v>0.01667</v>
      </c>
      <c r="L22" s="32" t="n">
        <f aca="false">IFERROR(VLOOKUP($M22, LostPackets!$D$2:$L$200, 9, 0),0)*2.262 /SQRT(10)</f>
        <v>0.0357653603365044</v>
      </c>
      <c r="M22" s="33" t="str">
        <f aca="false">D22&amp;A22&amp;B22</f>
        <v>SDWN IA25650</v>
      </c>
    </row>
    <row r="23" s="38" customFormat="true" ht="12.8" hidden="false" customHeight="false" outlineLevel="0" collapsed="false">
      <c r="A23" s="35" t="n">
        <v>256</v>
      </c>
      <c r="B23" s="35" t="n">
        <v>60</v>
      </c>
      <c r="C23" s="35" t="s">
        <v>29</v>
      </c>
      <c r="D23" s="35" t="s">
        <v>12</v>
      </c>
      <c r="E23" s="36" t="n">
        <f aca="false">IFERROR(VLOOKUP($M23, LostPackets!$D$2:$L$200, 2, 0),0)</f>
        <v>0.13087</v>
      </c>
      <c r="F23" s="36" t="n">
        <f aca="false">IFERROR(VLOOKUP($M23, LostPackets!$D$2:$L$200, 3, 0),0)*2.262 /SQRT(10)</f>
        <v>0.0962517377376006</v>
      </c>
      <c r="G23" s="36" t="n">
        <f aca="false">IFERROR(VLOOKUP($M23, LostPackets!$D$2:$L$200, 4, 0),0)</f>
        <v>0.07942</v>
      </c>
      <c r="H23" s="36" t="n">
        <f aca="false">IFERROR(VLOOKUP($M23, LostPackets!$D$2:$L$200, 5, 0),0)*2.262 /SQRT(10)</f>
        <v>0.0788411603257902</v>
      </c>
      <c r="I23" s="36" t="n">
        <f aca="false">IFERROR(VLOOKUP($M23, LostPackets!$D$2:$L$200, 6, 0),0)</f>
        <v>0.04222</v>
      </c>
      <c r="J23" s="36" t="n">
        <f aca="false">IFERROR(VLOOKUP($M23, LostPackets!$D$2:$L$200, 7, 0),0)*2.262 /SQRT(10)</f>
        <v>0.0677038271170028</v>
      </c>
      <c r="K23" s="36" t="n">
        <f aca="false">IFERROR(VLOOKUP($M23, LostPackets!$D$2:$L$200, 8, 0),0)</f>
        <v>0.03579</v>
      </c>
      <c r="L23" s="36" t="n">
        <f aca="false">IFERROR(VLOOKUP($M23, LostPackets!$D$2:$L$200, 9, 0),0)*2.262 /SQRT(10)</f>
        <v>0.0527109880639401</v>
      </c>
      <c r="M23" s="37" t="str">
        <f aca="false">D23&amp;A23&amp;B23</f>
        <v>NO SDWN25660</v>
      </c>
    </row>
    <row r="24" s="38" customFormat="true" ht="12.8" hidden="false" customHeight="false" outlineLevel="0" collapsed="false">
      <c r="A24" s="35" t="n">
        <v>256</v>
      </c>
      <c r="B24" s="35" t="n">
        <v>60</v>
      </c>
      <c r="C24" s="35"/>
      <c r="D24" s="35" t="s">
        <v>13</v>
      </c>
      <c r="E24" s="36" t="n">
        <f aca="false">IFERROR(VLOOKUP($M24, LostPackets!$D$2:$L$200, 2, 0),0)</f>
        <v>0.14414</v>
      </c>
      <c r="F24" s="36" t="n">
        <f aca="false">IFERROR(VLOOKUP($M24, LostPackets!$D$2:$L$200, 3, 0),0)*2.262 /SQRT(10)</f>
        <v>0.100557887122116</v>
      </c>
      <c r="G24" s="36" t="n">
        <f aca="false">IFERROR(VLOOKUP($M24, LostPackets!$D$2:$L$200, 4, 0),0)</f>
        <v>0.09333</v>
      </c>
      <c r="H24" s="36" t="n">
        <f aca="false">IFERROR(VLOOKUP($M24, LostPackets!$D$2:$L$200, 5, 0),0)*2.262 /SQRT(10)</f>
        <v>0.0864949474378022</v>
      </c>
      <c r="I24" s="36" t="n">
        <f aca="false">IFERROR(VLOOKUP($M24, LostPackets!$D$2:$L$200, 6, 0),0)</f>
        <v>0.04362</v>
      </c>
      <c r="J24" s="36" t="n">
        <f aca="false">IFERROR(VLOOKUP($M24, LostPackets!$D$2:$L$200, 7, 0),0)*2.262 /SQRT(10)</f>
        <v>0.0608297248603266</v>
      </c>
      <c r="K24" s="36" t="n">
        <f aca="false">IFERROR(VLOOKUP($M24, LostPackets!$D$2:$L$200, 8, 0),0)</f>
        <v>0.02349</v>
      </c>
      <c r="L24" s="36" t="n">
        <f aca="false">IFERROR(VLOOKUP($M24, LostPackets!$D$2:$L$200, 9, 0),0)*2.262 /SQRT(10)</f>
        <v>0.0437195764753429</v>
      </c>
      <c r="M24" s="37" t="str">
        <f aca="false">D24&amp;A24&amp;B24</f>
        <v>SDWN EDCA25660</v>
      </c>
    </row>
    <row r="25" s="38" customFormat="true" ht="12.8" hidden="false" customHeight="false" outlineLevel="0" collapsed="false">
      <c r="A25" s="35" t="n">
        <v>256</v>
      </c>
      <c r="B25" s="35" t="n">
        <v>60</v>
      </c>
      <c r="C25" s="35"/>
      <c r="D25" s="35" t="s">
        <v>14</v>
      </c>
      <c r="E25" s="36" t="n">
        <f aca="false">IFERROR(VLOOKUP($M25, LostPackets!$D$2:$L$200, 2, 0),0)</f>
        <v>0.09732</v>
      </c>
      <c r="F25" s="36" t="n">
        <f aca="false">IFERROR(VLOOKUP($M25, LostPackets!$D$2:$L$200, 3, 0),0)*2.262 /SQRT(10)</f>
        <v>0.0649355882269573</v>
      </c>
      <c r="G25" s="36" t="n">
        <f aca="false">IFERROR(VLOOKUP($M25, LostPackets!$D$2:$L$200, 4, 0),0)</f>
        <v>0.03915</v>
      </c>
      <c r="H25" s="36" t="n">
        <f aca="false">IFERROR(VLOOKUP($M25, LostPackets!$D$2:$L$200, 5, 0),0)*2.262 /SQRT(10)</f>
        <v>0.0523962528929789</v>
      </c>
      <c r="I25" s="36" t="n">
        <f aca="false">IFERROR(VLOOKUP($M25, LostPackets!$D$2:$L$200, 6, 0),0)</f>
        <v>0.00444</v>
      </c>
      <c r="J25" s="36" t="n">
        <f aca="false">IFERROR(VLOOKUP($M25, LostPackets!$D$2:$L$200, 7, 0),0)*2.262 /SQRT(10)</f>
        <v>0.0192059985007028</v>
      </c>
      <c r="K25" s="36" t="n">
        <f aca="false">IFERROR(VLOOKUP($M25, LostPackets!$D$2:$L$200, 8, 0),0)</f>
        <v>0</v>
      </c>
      <c r="L25" s="36" t="n">
        <f aca="false">IFERROR(VLOOKUP($M25, LostPackets!$D$2:$L$200, 9, 0),0)*2.262 /SQRT(10)</f>
        <v>0</v>
      </c>
      <c r="M25" s="37" t="str">
        <f aca="false">D25&amp;A25&amp;B25</f>
        <v>SDWN MOD25660</v>
      </c>
    </row>
    <row r="26" s="38" customFormat="true" ht="12.8" hidden="false" customHeight="false" outlineLevel="0" collapsed="false">
      <c r="A26" s="35" t="n">
        <v>256</v>
      </c>
      <c r="B26" s="35" t="n">
        <v>60</v>
      </c>
      <c r="C26" s="35"/>
      <c r="D26" s="35" t="s">
        <v>15</v>
      </c>
      <c r="E26" s="36" t="n">
        <f aca="false">IFERROR(VLOOKUP($M26, LostPackets!$D$2:$L$200, 2, 0),0)</f>
        <v>0.12556</v>
      </c>
      <c r="F26" s="36" t="n">
        <f aca="false">IFERROR(VLOOKUP($M26, LostPackets!$D$2:$L$200, 3, 0),0)*2.262 /SQRT(10)</f>
        <v>0.0880757763646757</v>
      </c>
      <c r="G26" s="36" t="n">
        <f aca="false">IFERROR(VLOOKUP($M26, LostPackets!$D$2:$L$200, 4, 0),0)</f>
        <v>0.05778</v>
      </c>
      <c r="H26" s="36" t="n">
        <f aca="false">IFERROR(VLOOKUP($M26, LostPackets!$D$2:$L$200, 5, 0),0)*2.262 /SQRT(10)</f>
        <v>0.0630614833453245</v>
      </c>
      <c r="I26" s="36" t="n">
        <f aca="false">IFERROR(VLOOKUP($M26, LostPackets!$D$2:$L$200, 6, 0),0)</f>
        <v>0.03333</v>
      </c>
      <c r="J26" s="36" t="n">
        <f aca="false">IFERROR(VLOOKUP($M26, LostPackets!$D$2:$L$200, 7, 0),0)*2.262 /SQRT(10)</f>
        <v>0.0533189991896607</v>
      </c>
      <c r="K26" s="36" t="n">
        <f aca="false">IFERROR(VLOOKUP($M26, LostPackets!$D$2:$L$200, 8, 0),0)</f>
        <v>0.02889</v>
      </c>
      <c r="L26" s="36" t="n">
        <f aca="false">IFERROR(VLOOKUP($M26, LostPackets!$D$2:$L$200, 9, 0),0)*2.262 /SQRT(10)</f>
        <v>0.0491487581744243</v>
      </c>
      <c r="M26" s="37" t="str">
        <f aca="false">D26&amp;A26&amp;B26</f>
        <v>SDWN IA25660</v>
      </c>
    </row>
    <row r="27" s="42" customFormat="true" ht="12.8" hidden="false" customHeight="false" outlineLevel="0" collapsed="false">
      <c r="A27" s="39" t="n">
        <v>256</v>
      </c>
      <c r="B27" s="39" t="n">
        <v>70</v>
      </c>
      <c r="C27" s="39" t="s">
        <v>30</v>
      </c>
      <c r="D27" s="39" t="s">
        <v>12</v>
      </c>
      <c r="E27" s="40" t="n">
        <f aca="false">IFERROR(VLOOKUP($M27, LostPackets!$D$2:$L$200, 2, 0),0)</f>
        <v>0.147</v>
      </c>
      <c r="F27" s="40" t="n">
        <f aca="false">IFERROR(VLOOKUP($M27, LostPackets!$D$2:$L$200, 3, 0),0)*2.262 /SQRT(10)</f>
        <v>0.109627982503453</v>
      </c>
      <c r="G27" s="40" t="n">
        <f aca="false">IFERROR(VLOOKUP($M27, LostPackets!$D$2:$L$200, 4, 0),0)</f>
        <v>0.10463</v>
      </c>
      <c r="H27" s="40" t="n">
        <f aca="false">IFERROR(VLOOKUP($M27, LostPackets!$D$2:$L$200, 5, 0),0)*2.262 /SQRT(10)</f>
        <v>0.0981759141237045</v>
      </c>
      <c r="I27" s="40" t="n">
        <f aca="false">IFERROR(VLOOKUP($M27, LostPackets!$D$2:$L$200, 6, 0),0)</f>
        <v>0.0625</v>
      </c>
      <c r="J27" s="40" t="n">
        <f aca="false">IFERROR(VLOOKUP($M27, LostPackets!$D$2:$L$200, 7, 0),0)*2.262 /SQRT(10)</f>
        <v>0.0787910888213191</v>
      </c>
      <c r="K27" s="40" t="n">
        <f aca="false">IFERROR(VLOOKUP($M27, LostPackets!$D$2:$L$200, 8, 0),0)</f>
        <v>0.04464</v>
      </c>
      <c r="L27" s="40" t="n">
        <f aca="false">IFERROR(VLOOKUP($M27, LostPackets!$D$2:$L$200, 9, 0),0)*2.262 /SQRT(10)</f>
        <v>0.0694062582690204</v>
      </c>
      <c r="M27" s="41" t="str">
        <f aca="false">D27&amp;A27&amp;B27</f>
        <v>NO SDWN25670</v>
      </c>
    </row>
    <row r="28" s="42" customFormat="true" ht="12.8" hidden="false" customHeight="false" outlineLevel="0" collapsed="false">
      <c r="A28" s="39" t="n">
        <v>256</v>
      </c>
      <c r="B28" s="39" t="n">
        <v>70</v>
      </c>
      <c r="C28" s="39"/>
      <c r="D28" s="39" t="s">
        <v>13</v>
      </c>
      <c r="E28" s="40" t="n">
        <f aca="false">IFERROR(VLOOKUP($M28, LostPackets!$D$2:$L$200, 2, 0),0)</f>
        <v>0.15093</v>
      </c>
      <c r="F28" s="40" t="n">
        <f aca="false">IFERROR(VLOOKUP($M28, LostPackets!$D$2:$L$200, 3, 0),0)*2.262 /SQRT(10)</f>
        <v>0.110772474034221</v>
      </c>
      <c r="G28" s="40" t="n">
        <f aca="false">IFERROR(VLOOKUP($M28, LostPackets!$D$2:$L$200, 4, 0),0)</f>
        <v>0.08473</v>
      </c>
      <c r="H28" s="40" t="n">
        <f aca="false">IFERROR(VLOOKUP($M28, LostPackets!$D$2:$L$200, 5, 0),0)*2.262 /SQRT(10)</f>
        <v>0.0876394389685703</v>
      </c>
      <c r="I28" s="40" t="n">
        <f aca="false">IFERROR(VLOOKUP($M28, LostPackets!$D$2:$L$200, 6, 0),0)</f>
        <v>0.0496</v>
      </c>
      <c r="J28" s="40" t="n">
        <f aca="false">IFERROR(VLOOKUP($M28, LostPackets!$D$2:$L$200, 7, 0),0)*2.262 /SQRT(10)</f>
        <v>0.0670385914147438</v>
      </c>
      <c r="K28" s="40" t="n">
        <f aca="false">IFERROR(VLOOKUP($M28, LostPackets!$D$2:$L$200, 8, 0),0)</f>
        <v>0.03649</v>
      </c>
      <c r="L28" s="40" t="n">
        <f aca="false">IFERROR(VLOOKUP($M28, LostPackets!$D$2:$L$200, 9, 0),0)*2.262 /SQRT(10)</f>
        <v>0.0586480378797999</v>
      </c>
      <c r="M28" s="41" t="str">
        <f aca="false">D28&amp;A28&amp;B28</f>
        <v>SDWN EDCA25670</v>
      </c>
    </row>
    <row r="29" s="42" customFormat="true" ht="12.8" hidden="false" customHeight="false" outlineLevel="0" collapsed="false">
      <c r="A29" s="39" t="n">
        <v>256</v>
      </c>
      <c r="B29" s="39" t="n">
        <v>70</v>
      </c>
      <c r="C29" s="39"/>
      <c r="D29" s="39" t="s">
        <v>14</v>
      </c>
      <c r="E29" s="40" t="n">
        <f aca="false">IFERROR(VLOOKUP($M29, LostPackets!$D$2:$L$200, 2, 0),0)</f>
        <v>0.09032</v>
      </c>
      <c r="F29" s="40" t="n">
        <f aca="false">IFERROR(VLOOKUP($M29, LostPackets!$D$2:$L$200, 3, 0),0)*2.262 /SQRT(10)</f>
        <v>0.0645278631191212</v>
      </c>
      <c r="G29" s="40" t="n">
        <f aca="false">IFERROR(VLOOKUP($M29, LostPackets!$D$2:$L$200, 4, 0),0)</f>
        <v>0.02793</v>
      </c>
      <c r="H29" s="40" t="n">
        <f aca="false">IFERROR(VLOOKUP($M29, LostPackets!$D$2:$L$200, 5, 0),0)*2.262 /SQRT(10)</f>
        <v>0.0445278736189479</v>
      </c>
      <c r="I29" s="40" t="n">
        <f aca="false">IFERROR(VLOOKUP($M29, LostPackets!$D$2:$L$200, 6, 0),0)</f>
        <v>0</v>
      </c>
      <c r="J29" s="40" t="n">
        <f aca="false">IFERROR(VLOOKUP($M29, LostPackets!$D$2:$L$200, 7, 0),0)*2.262 /SQRT(10)</f>
        <v>0</v>
      </c>
      <c r="K29" s="40" t="n">
        <f aca="false">IFERROR(VLOOKUP($M29, LostPackets!$D$2:$L$200, 8, 0),0)</f>
        <v>0</v>
      </c>
      <c r="L29" s="40" t="n">
        <f aca="false">IFERROR(VLOOKUP($M29, LostPackets!$D$2:$L$200, 9, 0),0)*2.262 /SQRT(10)</f>
        <v>0</v>
      </c>
      <c r="M29" s="41" t="str">
        <f aca="false">D29&amp;A29&amp;B29</f>
        <v>SDWN MOD25670</v>
      </c>
    </row>
    <row r="30" s="42" customFormat="true" ht="12.8" hidden="false" customHeight="false" outlineLevel="0" collapsed="false">
      <c r="A30" s="39" t="n">
        <v>256</v>
      </c>
      <c r="B30" s="39" t="n">
        <v>70</v>
      </c>
      <c r="C30" s="39"/>
      <c r="D30" s="39" t="s">
        <v>15</v>
      </c>
      <c r="E30" s="40" t="n">
        <f aca="false">IFERROR(VLOOKUP($M30, LostPackets!$D$2:$L$200, 2, 0),0)</f>
        <v>0.10463</v>
      </c>
      <c r="F30" s="40" t="n">
        <f aca="false">IFERROR(VLOOKUP($M30, LostPackets!$D$2:$L$200, 3, 0),0)*2.262 /SQRT(10)</f>
        <v>0.0754291449496877</v>
      </c>
      <c r="G30" s="40" t="n">
        <f aca="false">IFERROR(VLOOKUP($M30, LostPackets!$D$2:$L$200, 4, 0),0)</f>
        <v>0.06389</v>
      </c>
      <c r="H30" s="40" t="n">
        <f aca="false">IFERROR(VLOOKUP($M30, LostPackets!$D$2:$L$200, 5, 0),0)*2.262 /SQRT(10)</f>
        <v>0.0631759324984013</v>
      </c>
      <c r="I30" s="40" t="n">
        <f aca="false">IFERROR(VLOOKUP($M30, LostPackets!$D$2:$L$200, 6, 0),0)</f>
        <v>0.01765</v>
      </c>
      <c r="J30" s="40" t="n">
        <f aca="false">IFERROR(VLOOKUP($M30, LostPackets!$D$2:$L$200, 7, 0),0)*2.262 /SQRT(10)</f>
        <v>0.0366809535611189</v>
      </c>
      <c r="K30" s="40" t="n">
        <f aca="false">IFERROR(VLOOKUP($M30, LostPackets!$D$2:$L$200, 8, 0),0)</f>
        <v>0.00588</v>
      </c>
      <c r="L30" s="40" t="n">
        <f aca="false">IFERROR(VLOOKUP($M30, LostPackets!$D$2:$L$200, 9, 0),0)*2.262 /SQRT(10)</f>
        <v>0.0219956966069502</v>
      </c>
      <c r="M30" s="41" t="str">
        <f aca="false">D30&amp;A30&amp;B30</f>
        <v>SDWN IA25670</v>
      </c>
    </row>
    <row r="31" s="46" customFormat="true" ht="12.8" hidden="false" customHeight="false" outlineLevel="0" collapsed="false">
      <c r="A31" s="43" t="n">
        <v>256</v>
      </c>
      <c r="B31" s="43" t="n">
        <v>80</v>
      </c>
      <c r="C31" s="43" t="s">
        <v>31</v>
      </c>
      <c r="D31" s="43" t="s">
        <v>12</v>
      </c>
      <c r="E31" s="44" t="n">
        <f aca="false">IFERROR(VLOOKUP($M31, LostPackets!$D$2:$L$200, 2, 0),0)</f>
        <v>0.21633</v>
      </c>
      <c r="F31" s="44" t="n">
        <f aca="false">IFERROR(VLOOKUP($M31, LostPackets!$D$2:$L$200, 3, 0),0)*2.262 /SQRT(10)</f>
        <v>0.13218877180372</v>
      </c>
      <c r="G31" s="44" t="n">
        <f aca="false">IFERROR(VLOOKUP($M31, LostPackets!$D$2:$L$200, 4, 0),0)</f>
        <v>0.095</v>
      </c>
      <c r="H31" s="44" t="n">
        <f aca="false">IFERROR(VLOOKUP($M31, LostPackets!$D$2:$L$200, 5, 0),0)*2.262 /SQRT(10)</f>
        <v>0.0919670475692873</v>
      </c>
      <c r="I31" s="44" t="n">
        <f aca="false">IFERROR(VLOOKUP($M31, LostPackets!$D$2:$L$200, 6, 0),0)</f>
        <v>0.06937</v>
      </c>
      <c r="J31" s="44" t="n">
        <f aca="false">IFERROR(VLOOKUP($M31, LostPackets!$D$2:$L$200, 7, 0),0)*2.262 /SQRT(10)</f>
        <v>0.0805221322616059</v>
      </c>
      <c r="K31" s="44" t="n">
        <f aca="false">IFERROR(VLOOKUP($M31, LostPackets!$D$2:$L$200, 8, 0),0)</f>
        <v>0.0425</v>
      </c>
      <c r="L31" s="44" t="n">
        <f aca="false">IFERROR(VLOOKUP($M31, LostPackets!$D$2:$L$200, 9, 0),0)*2.262 /SQRT(10)</f>
        <v>0.0619456041028256</v>
      </c>
      <c r="M31" s="45" t="str">
        <f aca="false">D31&amp;A31&amp;B31</f>
        <v>NO SDWN25680</v>
      </c>
    </row>
    <row r="32" s="46" customFormat="true" ht="12.8" hidden="false" customHeight="false" outlineLevel="0" collapsed="false">
      <c r="A32" s="43" t="n">
        <v>256</v>
      </c>
      <c r="B32" s="43" t="n">
        <v>80</v>
      </c>
      <c r="C32" s="43"/>
      <c r="D32" s="43" t="s">
        <v>13</v>
      </c>
      <c r="E32" s="44" t="n">
        <f aca="false">IFERROR(VLOOKUP($M32, LostPackets!$D$2:$L$200, 2, 0),0)</f>
        <v>0.17755</v>
      </c>
      <c r="F32" s="44" t="n">
        <f aca="false">IFERROR(VLOOKUP($M32, LostPackets!$D$2:$L$200, 3, 0),0)*2.262 /SQRT(10)</f>
        <v>0.121931266459211</v>
      </c>
      <c r="G32" s="44" t="n">
        <f aca="false">IFERROR(VLOOKUP($M32, LostPackets!$D$2:$L$200, 4, 0),0)</f>
        <v>0.10917</v>
      </c>
      <c r="H32" s="44" t="n">
        <f aca="false">IFERROR(VLOOKUP($M32, LostPackets!$D$2:$L$200, 5, 0),0)*2.262 /SQRT(10)</f>
        <v>0.10158077642774</v>
      </c>
      <c r="I32" s="44" t="n">
        <f aca="false">IFERROR(VLOOKUP($M32, LostPackets!$D$2:$L$200, 6, 0),0)</f>
        <v>0.08124</v>
      </c>
      <c r="J32" s="44" t="n">
        <f aca="false">IFERROR(VLOOKUP($M32, LostPackets!$D$2:$L$200, 7, 0),0)*2.262 /SQRT(10)</f>
        <v>0.0843919442500157</v>
      </c>
      <c r="K32" s="44" t="n">
        <f aca="false">IFERROR(VLOOKUP($M32, LostPackets!$D$2:$L$200, 8, 0),0)</f>
        <v>0.03872</v>
      </c>
      <c r="L32" s="44" t="n">
        <f aca="false">IFERROR(VLOOKUP($M32, LostPackets!$D$2:$L$200, 9, 0),0)*2.262 /SQRT(10)</f>
        <v>0.0630114118408534</v>
      </c>
      <c r="M32" s="45" t="str">
        <f aca="false">D32&amp;A32&amp;B32</f>
        <v>SDWN EDCA25680</v>
      </c>
    </row>
    <row r="33" s="46" customFormat="true" ht="12.8" hidden="false" customHeight="false" outlineLevel="0" collapsed="false">
      <c r="A33" s="43" t="n">
        <v>256</v>
      </c>
      <c r="B33" s="43" t="n">
        <v>80</v>
      </c>
      <c r="C33" s="43"/>
      <c r="D33" s="43" t="s">
        <v>14</v>
      </c>
      <c r="E33" s="44" t="n">
        <f aca="false">IFERROR(VLOOKUP($M33, LostPackets!$D$2:$L$200, 2, 0),0)</f>
        <v>0.09583</v>
      </c>
      <c r="F33" s="44" t="n">
        <f aca="false">IFERROR(VLOOKUP($M33, LostPackets!$D$2:$L$200, 3, 0),0)*2.262 /SQRT(10)</f>
        <v>0.0646852307046018</v>
      </c>
      <c r="G33" s="44" t="n">
        <f aca="false">IFERROR(VLOOKUP($M33, LostPackets!$D$2:$L$200, 4, 0),0)</f>
        <v>0.02189</v>
      </c>
      <c r="H33" s="44" t="n">
        <f aca="false">IFERROR(VLOOKUP($M33, LostPackets!$D$2:$L$200, 5, 0),0)*2.262 /SQRT(10)</f>
        <v>0.0402646426668366</v>
      </c>
      <c r="I33" s="44" t="n">
        <f aca="false">IFERROR(VLOOKUP($M33, LostPackets!$D$2:$L$200, 6, 0),0)</f>
        <v>0.00421</v>
      </c>
      <c r="J33" s="44" t="n">
        <f aca="false">IFERROR(VLOOKUP($M33, LostPackets!$D$2:$L$200, 7, 0),0)*2.262 /SQRT(10)</f>
        <v>0.0187052834559918</v>
      </c>
      <c r="K33" s="44" t="n">
        <f aca="false">IFERROR(VLOOKUP($M33, LostPackets!$D$2:$L$200, 8, 0),0)</f>
        <v>0</v>
      </c>
      <c r="L33" s="44" t="n">
        <f aca="false">IFERROR(VLOOKUP($M33, LostPackets!$D$2:$L$200, 9, 0),0)*2.262 /SQRT(10)</f>
        <v>0</v>
      </c>
      <c r="M33" s="45" t="str">
        <f aca="false">D33&amp;A33&amp;B33</f>
        <v>SDWN MOD25680</v>
      </c>
    </row>
    <row r="34" s="46" customFormat="true" ht="12.8" hidden="false" customHeight="false" outlineLevel="0" collapsed="false">
      <c r="A34" s="43" t="n">
        <v>256</v>
      </c>
      <c r="B34" s="43" t="n">
        <v>80</v>
      </c>
      <c r="C34" s="43"/>
      <c r="D34" s="43" t="s">
        <v>15</v>
      </c>
      <c r="E34" s="44" t="n">
        <f aca="false">IFERROR(VLOOKUP($M34, LostPackets!$D$2:$L$200, 2, 0),0)</f>
        <v>0.10333</v>
      </c>
      <c r="F34" s="44" t="n">
        <f aca="false">IFERROR(VLOOKUP($M34, LostPackets!$D$2:$L$200, 3, 0),0)*2.262 /SQRT(10)</f>
        <v>0.0813447355493455</v>
      </c>
      <c r="G34" s="44" t="n">
        <f aca="false">IFERROR(VLOOKUP($M34, LostPackets!$D$2:$L$200, 4, 0),0)</f>
        <v>0.0625</v>
      </c>
      <c r="H34" s="44" t="n">
        <f aca="false">IFERROR(VLOOKUP($M34, LostPackets!$D$2:$L$200, 5, 0),0)*2.262 /SQRT(10)</f>
        <v>0.0601287237977311</v>
      </c>
      <c r="I34" s="44" t="n">
        <f aca="false">IFERROR(VLOOKUP($M34, LostPackets!$D$2:$L$200, 6, 0),0)</f>
        <v>0.01917</v>
      </c>
      <c r="J34" s="44" t="n">
        <f aca="false">IFERROR(VLOOKUP($M34, LostPackets!$D$2:$L$200, 7, 0),0)*2.262 /SQRT(10)</f>
        <v>0.0380328841818388</v>
      </c>
      <c r="K34" s="44" t="n">
        <f aca="false">IFERROR(VLOOKUP($M34, LostPackets!$D$2:$L$200, 8, 0),0)</f>
        <v>0</v>
      </c>
      <c r="L34" s="44" t="n">
        <f aca="false">IFERROR(VLOOKUP($M34, LostPackets!$D$2:$L$200, 9, 0),0)*2.262 /SQRT(10)</f>
        <v>0</v>
      </c>
      <c r="M34" s="45" t="str">
        <f aca="false">D34&amp;A34&amp;B34</f>
        <v>SDWN IA25680</v>
      </c>
    </row>
    <row r="35" s="50" customFormat="true" ht="12.8" hidden="false" customHeight="false" outlineLevel="0" collapsed="false">
      <c r="A35" s="47" t="n">
        <v>256</v>
      </c>
      <c r="B35" s="47" t="n">
        <v>90</v>
      </c>
      <c r="C35" s="47" t="s">
        <v>32</v>
      </c>
      <c r="D35" s="47" t="s">
        <v>12</v>
      </c>
      <c r="E35" s="48" t="n">
        <f aca="false">IFERROR(VLOOKUP($M35, LostPackets!$D$2:$L$200, 2, 0),0)</f>
        <v>0.2076</v>
      </c>
      <c r="F35" s="48" t="n">
        <f aca="false">IFERROR(VLOOKUP($M35, LostPackets!$D$2:$L$200, 3, 0),0)*2.262 /SQRT(10)</f>
        <v>0.136351859746889</v>
      </c>
      <c r="G35" s="48" t="n">
        <f aca="false">IFERROR(VLOOKUP($M35, LostPackets!$D$2:$L$200, 4, 0),0)</f>
        <v>0.12849</v>
      </c>
      <c r="H35" s="48" t="n">
        <f aca="false">IFERROR(VLOOKUP($M35, LostPackets!$D$2:$L$200, 5, 0),0)*2.262 /SQRT(10)</f>
        <v>0.110235993629174</v>
      </c>
      <c r="I35" s="48" t="n">
        <f aca="false">IFERROR(VLOOKUP($M35, LostPackets!$D$2:$L$200, 6, 0),0)</f>
        <v>0.07002</v>
      </c>
      <c r="J35" s="48" t="n">
        <f aca="false">IFERROR(VLOOKUP($M35, LostPackets!$D$2:$L$200, 7, 0),0)*2.262 /SQRT(10)</f>
        <v>0.0811015310990573</v>
      </c>
      <c r="K35" s="48" t="n">
        <f aca="false">IFERROR(VLOOKUP($M35, LostPackets!$D$2:$L$200, 8, 0),0)</f>
        <v>0.04015</v>
      </c>
      <c r="L35" s="48" t="n">
        <f aca="false">IFERROR(VLOOKUP($M35, LostPackets!$D$2:$L$200, 9, 0),0)*2.262 /SQRT(10)</f>
        <v>0.063404830804555</v>
      </c>
      <c r="M35" s="49" t="str">
        <f aca="false">D35&amp;A35&amp;B35</f>
        <v>NO SDWN25690</v>
      </c>
    </row>
    <row r="36" s="50" customFormat="true" ht="12.8" hidden="false" customHeight="false" outlineLevel="0" collapsed="false">
      <c r="A36" s="47" t="n">
        <v>256</v>
      </c>
      <c r="B36" s="47" t="n">
        <v>90</v>
      </c>
      <c r="C36" s="47"/>
      <c r="D36" s="47" t="s">
        <v>13</v>
      </c>
      <c r="E36" s="48" t="n">
        <f aca="false">IFERROR(VLOOKUP($M36, LostPackets!$D$2:$L$200, 2, 0),0)</f>
        <v>0.2067</v>
      </c>
      <c r="F36" s="48" t="n">
        <f aca="false">IFERROR(VLOOKUP($M36, LostPackets!$D$2:$L$200, 3, 0),0)*2.262 /SQRT(10)</f>
        <v>0.135035694486506</v>
      </c>
      <c r="G36" s="48" t="n">
        <f aca="false">IFERROR(VLOOKUP($M36, LostPackets!$D$2:$L$200, 4, 0),0)</f>
        <v>0.12591</v>
      </c>
      <c r="H36" s="48" t="n">
        <f aca="false">IFERROR(VLOOKUP($M36, LostPackets!$D$2:$L$200, 5, 0),0)*2.262 /SQRT(10)</f>
        <v>0.11586546134614</v>
      </c>
      <c r="I36" s="48" t="n">
        <f aca="false">IFERROR(VLOOKUP($M36, LostPackets!$D$2:$L$200, 6, 0),0)</f>
        <v>0.06346</v>
      </c>
      <c r="J36" s="48" t="n">
        <f aca="false">IFERROR(VLOOKUP($M36, LostPackets!$D$2:$L$200, 7, 0),0)*2.262 /SQRT(10)</f>
        <v>0.0821029611884794</v>
      </c>
      <c r="K36" s="48" t="n">
        <f aca="false">IFERROR(VLOOKUP($M36, LostPackets!$D$2:$L$200, 8, 0),0)</f>
        <v>0.0344</v>
      </c>
      <c r="L36" s="48" t="n">
        <f aca="false">IFERROR(VLOOKUP($M36, LostPackets!$D$2:$L$200, 9, 0),0)*2.262 /SQRT(10)</f>
        <v>0.0569313005836477</v>
      </c>
      <c r="M36" s="49" t="str">
        <f aca="false">D36&amp;A36&amp;B36</f>
        <v>SDWN EDCA25690</v>
      </c>
    </row>
    <row r="37" s="50" customFormat="true" ht="12.8" hidden="false" customHeight="false" outlineLevel="0" collapsed="false">
      <c r="A37" s="47" t="n">
        <v>256</v>
      </c>
      <c r="B37" s="47" t="n">
        <v>90</v>
      </c>
      <c r="C37" s="47"/>
      <c r="D37" s="47" t="s">
        <v>14</v>
      </c>
      <c r="E37" s="48" t="n">
        <f aca="false">IFERROR(VLOOKUP($M37, LostPackets!$D$2:$L$200, 2, 0),0)</f>
        <v>0.09503</v>
      </c>
      <c r="F37" s="48" t="n">
        <f aca="false">IFERROR(VLOOKUP($M37, LostPackets!$D$2:$L$200, 3, 0),0)*2.262 /SQRT(10)</f>
        <v>0.0678611947024834</v>
      </c>
      <c r="G37" s="48" t="n">
        <f aca="false">IFERROR(VLOOKUP($M37, LostPackets!$D$2:$L$200, 4, 0),0)</f>
        <v>0.02536</v>
      </c>
      <c r="H37" s="48" t="n">
        <f aca="false">IFERROR(VLOOKUP($M37, LostPackets!$D$2:$L$200, 5, 0),0)*2.262 /SQRT(10)</f>
        <v>0.0456151405731777</v>
      </c>
      <c r="I37" s="48" t="n">
        <f aca="false">IFERROR(VLOOKUP($M37, LostPackets!$D$2:$L$200, 6, 0),0)</f>
        <v>0.00909</v>
      </c>
      <c r="J37" s="48" t="n">
        <f aca="false">IFERROR(VLOOKUP($M37, LostPackets!$D$2:$L$200, 7, 0),0)*2.262 /SQRT(10)</f>
        <v>0.0270743777747338</v>
      </c>
      <c r="K37" s="48" t="n">
        <f aca="false">IFERROR(VLOOKUP($M37, LostPackets!$D$2:$L$200, 8, 0),0)</f>
        <v>0.00306</v>
      </c>
      <c r="L37" s="48" t="n">
        <f aca="false">IFERROR(VLOOKUP($M37, LostPackets!$D$2:$L$200, 9, 0),0)*2.262 /SQRT(10)</f>
        <v>0.0160014222145521</v>
      </c>
      <c r="M37" s="49" t="str">
        <f aca="false">D37&amp;A37&amp;B37</f>
        <v>SDWN MOD25690</v>
      </c>
    </row>
    <row r="38" s="50" customFormat="true" ht="12.8" hidden="false" customHeight="false" outlineLevel="0" collapsed="false">
      <c r="A38" s="47" t="n">
        <v>256</v>
      </c>
      <c r="B38" s="47" t="n">
        <v>90</v>
      </c>
      <c r="C38" s="47"/>
      <c r="D38" s="47" t="s">
        <v>15</v>
      </c>
      <c r="E38" s="48" t="n">
        <f aca="false">IFERROR(VLOOKUP($M38, LostPackets!$D$2:$L$200, 2, 0),0)</f>
        <v>0.15217</v>
      </c>
      <c r="F38" s="48" t="n">
        <f aca="false">IFERROR(VLOOKUP($M38, LostPackets!$D$2:$L$200, 3, 0),0)*2.262 /SQRT(10)</f>
        <v>0.122353297711181</v>
      </c>
      <c r="G38" s="48" t="n">
        <f aca="false">IFERROR(VLOOKUP($M38, LostPackets!$D$2:$L$200, 4, 0),0)</f>
        <v>0.07826</v>
      </c>
      <c r="H38" s="48" t="n">
        <f aca="false">IFERROR(VLOOKUP($M38, LostPackets!$D$2:$L$200, 5, 0),0)*2.262 /SQRT(10)</f>
        <v>0.0798926619196835</v>
      </c>
      <c r="I38" s="48" t="n">
        <f aca="false">IFERROR(VLOOKUP($M38, LostPackets!$D$2:$L$200, 6, 0),0)</f>
        <v>0.02955</v>
      </c>
      <c r="J38" s="48" t="n">
        <f aca="false">IFERROR(VLOOKUP($M38, LostPackets!$D$2:$L$200, 7, 0),0)*2.262 /SQRT(10)</f>
        <v>0.0482832364542809</v>
      </c>
      <c r="K38" s="48" t="n">
        <f aca="false">IFERROR(VLOOKUP($M38, LostPackets!$D$2:$L$200, 8, 0),0)</f>
        <v>0.00985</v>
      </c>
      <c r="L38" s="48" t="n">
        <f aca="false">IFERROR(VLOOKUP($M38, LostPackets!$D$2:$L$200, 9, 0),0)*2.262 /SQRT(10)</f>
        <v>0.0281115732244924</v>
      </c>
      <c r="M38" s="49" t="str">
        <f aca="false">D38&amp;A38&amp;B38</f>
        <v>SDWN IA25690</v>
      </c>
    </row>
    <row r="39" s="54" customFormat="true" ht="12.8" hidden="false" customHeight="false" outlineLevel="0" collapsed="false">
      <c r="A39" s="51" t="n">
        <v>256</v>
      </c>
      <c r="B39" s="51" t="n">
        <v>100</v>
      </c>
      <c r="C39" s="51" t="s">
        <v>33</v>
      </c>
      <c r="D39" s="51" t="s">
        <v>12</v>
      </c>
      <c r="E39" s="52" t="n">
        <f aca="false">IFERROR(VLOOKUP($M39, LostPackets!$D$2:$L$200, 2, 0),0)</f>
        <v>0.24157</v>
      </c>
      <c r="F39" s="52" t="n">
        <f aca="false">IFERROR(VLOOKUP($M39, LostPackets!$D$2:$L$200, 3, 0),0)*2.262 /SQRT(10)</f>
        <v>0.181280305401606</v>
      </c>
      <c r="G39" s="52" t="n">
        <f aca="false">IFERROR(VLOOKUP($M39, LostPackets!$D$2:$L$200, 4, 0),0)</f>
        <v>0.14382</v>
      </c>
      <c r="H39" s="52" t="n">
        <f aca="false">IFERROR(VLOOKUP($M39, LostPackets!$D$2:$L$200, 5, 0),0)*2.262 /SQRT(10)</f>
        <v>0.118576475659647</v>
      </c>
      <c r="I39" s="52" t="n">
        <f aca="false">IFERROR(VLOOKUP($M39, LostPackets!$D$2:$L$200, 6, 0),0)</f>
        <v>0.09649</v>
      </c>
      <c r="J39" s="52" t="n">
        <f aca="false">IFERROR(VLOOKUP($M39, LostPackets!$D$2:$L$200, 7, 0),0)*2.262 /SQRT(10)</f>
        <v>0.10571525208264</v>
      </c>
      <c r="K39" s="52" t="n">
        <f aca="false">IFERROR(VLOOKUP($M39, LostPackets!$D$2:$L$200, 8, 0),0)</f>
        <v>0.04791</v>
      </c>
      <c r="L39" s="52" t="n">
        <f aca="false">IFERROR(VLOOKUP($M39, LostPackets!$D$2:$L$200, 9, 0),0)*2.262 /SQRT(10)</f>
        <v>0.070586515160125</v>
      </c>
      <c r="M39" s="53" t="str">
        <f aca="false">D39&amp;A39&amp;B39</f>
        <v>NO SDWN256100</v>
      </c>
    </row>
    <row r="40" s="54" customFormat="true" ht="12.8" hidden="false" customHeight="false" outlineLevel="0" collapsed="false">
      <c r="A40" s="51" t="n">
        <v>256</v>
      </c>
      <c r="B40" s="51" t="n">
        <v>100</v>
      </c>
      <c r="C40" s="51"/>
      <c r="D40" s="51" t="s">
        <v>13</v>
      </c>
      <c r="E40" s="52" t="n">
        <f aca="false">IFERROR(VLOOKUP($M40, LostPackets!$D$2:$L$200, 2, 0),0)</f>
        <v>0.25403</v>
      </c>
      <c r="F40" s="52" t="n">
        <f aca="false">IFERROR(VLOOKUP($M40, LostPackets!$D$2:$L$200, 3, 0),0)*2.262 /SQRT(10)</f>
        <v>0.186337527353188</v>
      </c>
      <c r="G40" s="52" t="n">
        <f aca="false">IFERROR(VLOOKUP($M40, LostPackets!$D$2:$L$200, 4, 0),0)</f>
        <v>0.13655</v>
      </c>
      <c r="H40" s="52" t="n">
        <f aca="false">IFERROR(VLOOKUP($M40, LostPackets!$D$2:$L$200, 5, 0),0)*2.262 /SQRT(10)</f>
        <v>0.117253157327196</v>
      </c>
      <c r="I40" s="52" t="n">
        <f aca="false">IFERROR(VLOOKUP($M40, LostPackets!$D$2:$L$200, 6, 0),0)</f>
        <v>0.07995</v>
      </c>
      <c r="J40" s="52" t="n">
        <f aca="false">IFERROR(VLOOKUP($M40, LostPackets!$D$2:$L$200, 7, 0),0)*2.262 /SQRT(10)</f>
        <v>0.0935264172799589</v>
      </c>
      <c r="K40" s="52" t="n">
        <f aca="false">IFERROR(VLOOKUP($M40, LostPackets!$D$2:$L$200, 8, 0),0)</f>
        <v>0.04733</v>
      </c>
      <c r="L40" s="52" t="n">
        <f aca="false">IFERROR(VLOOKUP($M40, LostPackets!$D$2:$L$200, 9, 0),0)*2.262 /SQRT(10)</f>
        <v>0.0686265734136846</v>
      </c>
      <c r="M40" s="53" t="str">
        <f aca="false">D40&amp;A40&amp;B40</f>
        <v>SDWN EDCA256100</v>
      </c>
    </row>
    <row r="41" s="54" customFormat="true" ht="12.8" hidden="false" customHeight="false" outlineLevel="0" collapsed="false">
      <c r="A41" s="51" t="n">
        <v>256</v>
      </c>
      <c r="B41" s="51" t="n">
        <v>100</v>
      </c>
      <c r="C41" s="51"/>
      <c r="D41" s="51" t="s">
        <v>14</v>
      </c>
      <c r="E41" s="52" t="n">
        <f aca="false">IFERROR(VLOOKUP($M41, LostPackets!$D$2:$L$200, 2, 0),0)</f>
        <v>0.09946</v>
      </c>
      <c r="F41" s="52" t="n">
        <f aca="false">IFERROR(VLOOKUP($M41, LostPackets!$D$2:$L$200, 3, 0),0)*2.262 /SQRT(10)</f>
        <v>0.0667238562437826</v>
      </c>
      <c r="G41" s="52" t="n">
        <f aca="false">IFERROR(VLOOKUP($M41, LostPackets!$D$2:$L$200, 4, 0),0)</f>
        <v>0.02008</v>
      </c>
      <c r="H41" s="52" t="n">
        <f aca="false">IFERROR(VLOOKUP($M41, LostPackets!$D$2:$L$200, 5, 0),0)*2.262 /SQRT(10)</f>
        <v>0.0388054159651072</v>
      </c>
      <c r="I41" s="52" t="n">
        <f aca="false">IFERROR(VLOOKUP($M41, LostPackets!$D$2:$L$200, 6, 0),0)</f>
        <v>0.00268</v>
      </c>
      <c r="J41" s="52" t="n">
        <f aca="false">IFERROR(VLOOKUP($M41, LostPackets!$D$2:$L$200, 7, 0),0)*2.262 /SQRT(10)</f>
        <v>0.0149856859809953</v>
      </c>
      <c r="K41" s="52" t="n">
        <f aca="false">IFERROR(VLOOKUP($M41, LostPackets!$D$2:$L$200, 8, 0),0)</f>
        <v>0</v>
      </c>
      <c r="L41" s="52" t="n">
        <f aca="false">IFERROR(VLOOKUP($M41, LostPackets!$D$2:$L$200, 9, 0),0)*2.262 /SQRT(10)</f>
        <v>0</v>
      </c>
      <c r="M41" s="53" t="str">
        <f aca="false">D41&amp;A41&amp;B41</f>
        <v>SDWN MOD256100</v>
      </c>
    </row>
    <row r="42" s="54" customFormat="true" ht="12.8" hidden="false" customHeight="false" outlineLevel="0" collapsed="false">
      <c r="A42" s="51" t="n">
        <v>256</v>
      </c>
      <c r="B42" s="51" t="n">
        <v>100</v>
      </c>
      <c r="C42" s="51"/>
      <c r="D42" s="51" t="s">
        <v>15</v>
      </c>
      <c r="E42" s="52" t="n">
        <f aca="false">IFERROR(VLOOKUP($M42, LostPackets!$D$2:$L$200, 2, 0),0)</f>
        <v>0.13667</v>
      </c>
      <c r="F42" s="52" t="n">
        <f aca="false">IFERROR(VLOOKUP($M42, LostPackets!$D$2:$L$200, 3, 0),0)*2.262 /SQRT(10)</f>
        <v>0.0938411524509202</v>
      </c>
      <c r="G42" s="52" t="n">
        <f aca="false">IFERROR(VLOOKUP($M42, LostPackets!$D$2:$L$200, 4, 0),0)</f>
        <v>0.06533</v>
      </c>
      <c r="H42" s="52" t="n">
        <f aca="false">IFERROR(VLOOKUP($M42, LostPackets!$D$2:$L$200, 5, 0),0)*2.262 /SQRT(10)</f>
        <v>0.0689341555125785</v>
      </c>
      <c r="I42" s="52" t="n">
        <f aca="false">IFERROR(VLOOKUP($M42, LostPackets!$D$2:$L$200, 6, 0),0)</f>
        <v>0.01533</v>
      </c>
      <c r="J42" s="52" t="n">
        <f aca="false">IFERROR(VLOOKUP($M42, LostPackets!$D$2:$L$200, 7, 0),0)*2.262 /SQRT(10)</f>
        <v>0.036065789363331</v>
      </c>
      <c r="K42" s="52" t="n">
        <f aca="false">IFERROR(VLOOKUP($M42, LostPackets!$D$2:$L$200, 8, 0),0)</f>
        <v>0.00267</v>
      </c>
      <c r="L42" s="52" t="n">
        <f aca="false">IFERROR(VLOOKUP($M42, LostPackets!$D$2:$L$200, 9, 0),0)*2.262 /SQRT(10)</f>
        <v>0.0149570736927261</v>
      </c>
      <c r="M42" s="53" t="str">
        <f aca="false">D42&amp;A42&amp;B42</f>
        <v>SDWN IA256100</v>
      </c>
    </row>
  </sheetData>
  <mergeCells count="7">
    <mergeCell ref="A1:A2"/>
    <mergeCell ref="B1:B2"/>
    <mergeCell ref="D1:D2"/>
    <mergeCell ref="E1:F1"/>
    <mergeCell ref="G1:H1"/>
    <mergeCell ref="I1:J1"/>
    <mergeCell ref="K1:L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2026-02-19T22:59:58Z</dcterms:created>
  <dc:creator/>
  <dc:description/>
  <dc:language>es-ES</dc:language>
  <cp:lastModifiedBy/>
  <dcterms:modified xsi:type="dcterms:W3CDTF">2026-02-26T22:41:02Z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